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625" codeName="{EAAD5824-E589-9196-6FC8-2F1B51211585}"/>
  <workbookPr filterPrivacy="1" codeName="ThisWorkbook"/>
  <bookViews>
    <workbookView xWindow="0" yWindow="1368" windowWidth="20736" windowHeight="11760" tabRatio="605" activeTab="8"/>
  </bookViews>
  <sheets>
    <sheet name="信息" sheetId="1" r:id="rId1"/>
    <sheet name="敏感点信息" sheetId="231" r:id="rId2"/>
    <sheet name="产品" sheetId="230" r:id="rId3"/>
    <sheet name="材料" sheetId="3" r:id="rId4"/>
    <sheet name="设备" sheetId="4" r:id="rId5"/>
    <sheet name="附件" sheetId="263" r:id="rId6"/>
    <sheet name="废气信息" sheetId="234" r:id="rId7"/>
    <sheet name="废固信息" sheetId="235" r:id="rId8"/>
    <sheet name="废气信息库" sheetId="233" r:id="rId9"/>
    <sheet name="废固信息库" sheetId="236" r:id="rId10"/>
    <sheet name="污水排放" sheetId="41" r:id="rId11"/>
    <sheet name="地表水环境" sheetId="5" r:id="rId12"/>
    <sheet name="地表水区域" sheetId="142" r:id="rId13"/>
    <sheet name="地下水环境" sheetId="6" r:id="rId14"/>
    <sheet name="地下水区域" sheetId="116" r:id="rId15"/>
    <sheet name="声环境" sheetId="7" r:id="rId16"/>
    <sheet name="社会情况" sheetId="217" r:id="rId17"/>
    <sheet name="现状数据" sheetId="113" r:id="rId18"/>
    <sheet name="行业类别及代码" sheetId="166" r:id="rId19"/>
    <sheet name="工艺流程表" sheetId="210" r:id="rId2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5" i="1" l="1"/>
  <c r="B18" i="1"/>
  <c r="L1" i="234" l="1"/>
  <c r="I2" i="263" l="1"/>
  <c r="I1" i="263"/>
  <c r="E6" i="231" l="1"/>
  <c r="D1" i="41" l="1"/>
  <c r="B47" i="1" s="1"/>
  <c r="E1" i="210" l="1"/>
  <c r="G16" i="1" l="1"/>
  <c r="A11" i="142" l="1"/>
  <c r="A10" i="142"/>
  <c r="A9" i="142"/>
  <c r="A8" i="142"/>
  <c r="A7" i="142"/>
  <c r="A6" i="142"/>
  <c r="A5" i="142"/>
  <c r="A4" i="142"/>
  <c r="A3" i="142"/>
  <c r="A2" i="142"/>
  <c r="B43" i="1"/>
  <c r="B42" i="1"/>
  <c r="B39" i="1"/>
  <c r="B38" i="1"/>
  <c r="B37" i="1"/>
  <c r="B44" i="1" l="1"/>
  <c r="E2" i="231"/>
  <c r="B46" i="1"/>
</calcChain>
</file>

<file path=xl/sharedStrings.xml><?xml version="1.0" encoding="utf-8"?>
<sst xmlns="http://schemas.openxmlformats.org/spreadsheetml/2006/main" count="1028" uniqueCount="623">
  <si>
    <r>
      <t>NH</t>
    </r>
    <r>
      <rPr>
        <vertAlign val="subscript"/>
        <sz val="10"/>
        <color indexed="10"/>
        <rFont val="Times New Roman"/>
        <family val="1"/>
      </rPr>
      <t>3</t>
    </r>
    <r>
      <rPr>
        <sz val="10"/>
        <color indexed="10"/>
        <rFont val="Times New Roman"/>
        <family val="1"/>
      </rPr>
      <t>-N</t>
    </r>
  </si>
  <si>
    <r>
      <t>BOD</t>
    </r>
    <r>
      <rPr>
        <vertAlign val="subscript"/>
        <sz val="10"/>
        <color indexed="10"/>
        <rFont val="Times New Roman"/>
        <family val="1"/>
      </rPr>
      <t>5</t>
    </r>
  </si>
  <si>
    <t>COD</t>
  </si>
  <si>
    <t>单位mg/L（pH除外）</t>
    <phoneticPr fontId="7" type="noConversion"/>
  </si>
  <si>
    <r>
      <t>《地表水环境质量标准》（</t>
    </r>
    <r>
      <rPr>
        <sz val="10"/>
        <rFont val="Times New Roman"/>
        <family val="1"/>
      </rPr>
      <t>GB3838-2002</t>
    </r>
    <r>
      <rPr>
        <sz val="10"/>
        <rFont val="宋体"/>
        <family val="3"/>
        <charset val="134"/>
      </rPr>
      <t>）</t>
    </r>
    <phoneticPr fontId="7" type="noConversion"/>
  </si>
  <si>
    <t>溶解性总固体上限</t>
    <phoneticPr fontId="23" type="noConversion"/>
  </si>
  <si>
    <t>总硬度上限</t>
    <phoneticPr fontId="23" type="noConversion"/>
  </si>
  <si>
    <t>单位mg/L（pH除外）</t>
    <phoneticPr fontId="7" type="noConversion"/>
  </si>
  <si>
    <r>
      <t>《地下水质量标准》（</t>
    </r>
    <r>
      <rPr>
        <sz val="10"/>
        <color indexed="10"/>
        <rFont val="Times New Roman"/>
        <family val="1"/>
      </rPr>
      <t>GB/T14848-93</t>
    </r>
    <r>
      <rPr>
        <sz val="10"/>
        <color indexed="10"/>
        <rFont val="宋体"/>
        <family val="3"/>
        <charset val="134"/>
      </rPr>
      <t>）</t>
    </r>
    <phoneticPr fontId="7" type="noConversion"/>
  </si>
  <si>
    <t>夜间</t>
  </si>
  <si>
    <t>昼间</t>
  </si>
  <si>
    <t>单位dB(A)</t>
    <phoneticPr fontId="7" type="noConversion"/>
  </si>
  <si>
    <t>3类</t>
    <phoneticPr fontId="7" type="noConversion"/>
  </si>
  <si>
    <t>2类</t>
    <phoneticPr fontId="7" type="noConversion"/>
  </si>
  <si>
    <t>《声环境质量标准》</t>
    <phoneticPr fontId="7" type="noConversion"/>
  </si>
  <si>
    <t>经独立生活污水处理设施处理后排入内河涌</t>
    <phoneticPr fontId="7" type="noConversion"/>
  </si>
  <si>
    <r>
      <rPr>
        <b/>
        <sz val="9"/>
        <color indexed="8"/>
        <rFont val="宋体"/>
        <family val="3"/>
        <charset val="134"/>
      </rPr>
      <t>经独立生活污水处理设施处理达到《城镇污水处理厂污染物排放标准》（</t>
    </r>
    <r>
      <rPr>
        <b/>
        <sz val="9"/>
        <color indexed="8"/>
        <rFont val="Times New Roman"/>
        <family val="1"/>
      </rPr>
      <t>GB18918-2002</t>
    </r>
    <r>
      <rPr>
        <b/>
        <sz val="9"/>
        <color indexed="8"/>
        <rFont val="宋体"/>
        <family val="3"/>
        <charset val="134"/>
      </rPr>
      <t>）中的二级标准后排入内河涌排入附近内河涌</t>
    </r>
    <phoneticPr fontId="7" type="noConversion"/>
  </si>
  <si>
    <r>
      <rPr>
        <b/>
        <sz val="9"/>
        <color indexed="8"/>
        <rFont val="宋体"/>
        <family val="3"/>
        <charset val="134"/>
      </rPr>
      <t>经自建废水处理设施处理后，达到《城镇污水处理厂污染物排放标准》（</t>
    </r>
    <r>
      <rPr>
        <b/>
        <sz val="9"/>
        <color indexed="8"/>
        <rFont val="Times New Roman"/>
        <family val="1"/>
      </rPr>
      <t>GB18918-2002</t>
    </r>
    <r>
      <rPr>
        <b/>
        <sz val="9"/>
        <color indexed="8"/>
        <rFont val="宋体"/>
        <family val="3"/>
        <charset val="134"/>
      </rPr>
      <t>）中的二级标准后排入内河涌，即</t>
    </r>
    <r>
      <rPr>
        <b/>
        <sz val="9"/>
        <color indexed="8"/>
        <rFont val="Times New Roman"/>
        <family val="1"/>
      </rPr>
      <t>CODcr</t>
    </r>
    <r>
      <rPr>
        <b/>
        <sz val="9"/>
        <color indexed="8"/>
        <rFont val="宋体"/>
        <family val="3"/>
        <charset val="134"/>
      </rPr>
      <t>≤</t>
    </r>
    <r>
      <rPr>
        <b/>
        <sz val="9"/>
        <color indexed="8"/>
        <rFont val="Times New Roman"/>
        <family val="1"/>
      </rPr>
      <t>100mg/L</t>
    </r>
    <r>
      <rPr>
        <b/>
        <sz val="9"/>
        <color indexed="8"/>
        <rFont val="宋体"/>
        <family val="3"/>
        <charset val="134"/>
      </rPr>
      <t>，</t>
    </r>
    <r>
      <rPr>
        <b/>
        <sz val="9"/>
        <color indexed="8"/>
        <rFont val="Times New Roman"/>
        <family val="1"/>
      </rPr>
      <t>BOD</t>
    </r>
    <r>
      <rPr>
        <b/>
        <sz val="9"/>
        <color indexed="8"/>
        <rFont val="宋体"/>
        <family val="3"/>
        <charset val="134"/>
      </rPr>
      <t>≤</t>
    </r>
    <r>
      <rPr>
        <b/>
        <sz val="9"/>
        <color indexed="8"/>
        <rFont val="Times New Roman"/>
        <family val="1"/>
      </rPr>
      <t>30mg/L</t>
    </r>
    <r>
      <rPr>
        <b/>
        <sz val="9"/>
        <color indexed="8"/>
        <rFont val="宋体"/>
        <family val="3"/>
        <charset val="134"/>
      </rPr>
      <t>，</t>
    </r>
    <r>
      <rPr>
        <b/>
        <sz val="9"/>
        <color indexed="8"/>
        <rFont val="Times New Roman"/>
        <family val="1"/>
      </rPr>
      <t>SS</t>
    </r>
    <r>
      <rPr>
        <b/>
        <sz val="9"/>
        <color indexed="8"/>
        <rFont val="宋体"/>
        <family val="3"/>
        <charset val="134"/>
      </rPr>
      <t>≤</t>
    </r>
    <r>
      <rPr>
        <b/>
        <sz val="9"/>
        <color indexed="8"/>
        <rFont val="Times New Roman"/>
        <family val="1"/>
      </rPr>
      <t>30mg/L</t>
    </r>
    <r>
      <rPr>
        <b/>
        <sz val="9"/>
        <color indexed="8"/>
        <rFont val="宋体"/>
        <family val="3"/>
        <charset val="134"/>
      </rPr>
      <t>，</t>
    </r>
    <r>
      <rPr>
        <b/>
        <sz val="9"/>
        <color indexed="8"/>
        <rFont val="Times New Roman"/>
        <family val="1"/>
      </rPr>
      <t>NH3-N</t>
    </r>
    <r>
      <rPr>
        <b/>
        <sz val="9"/>
        <color indexed="8"/>
        <rFont val="宋体"/>
        <family val="3"/>
        <charset val="134"/>
      </rPr>
      <t>≤</t>
    </r>
    <r>
      <rPr>
        <b/>
        <sz val="9"/>
        <color indexed="8"/>
        <rFont val="Times New Roman"/>
        <family val="1"/>
      </rPr>
      <t>25mg/L</t>
    </r>
    <r>
      <rPr>
        <b/>
        <sz val="9"/>
        <color indexed="8"/>
        <rFont val="宋体"/>
        <family val="3"/>
        <charset val="134"/>
      </rPr>
      <t>。</t>
    </r>
    <phoneticPr fontId="7" type="noConversion"/>
  </si>
  <si>
    <t>否</t>
  </si>
  <si>
    <t>是</t>
  </si>
  <si>
    <t>pH</t>
    <phoneticPr fontId="23" type="noConversion"/>
  </si>
  <si>
    <t>6-9</t>
    <phoneticPr fontId="6" type="noConversion"/>
  </si>
  <si>
    <t>pH</t>
    <phoneticPr fontId="23" type="noConversion"/>
  </si>
  <si>
    <t>6.5-8.5</t>
    <phoneticPr fontId="6" type="noConversion"/>
  </si>
  <si>
    <t>5.5-9</t>
    <phoneticPr fontId="6" type="noConversion"/>
  </si>
  <si>
    <t>Ⅱ类</t>
    <phoneticPr fontId="7" type="noConversion"/>
  </si>
  <si>
    <t>Ⅲ类</t>
    <phoneticPr fontId="7" type="noConversion"/>
  </si>
  <si>
    <t>Ⅳ类</t>
    <phoneticPr fontId="7" type="noConversion"/>
  </si>
  <si>
    <t>Ⅴ类</t>
    <phoneticPr fontId="7" type="noConversion"/>
  </si>
  <si>
    <t>电年耗量(万kWh/a)</t>
    <rPh sb="5" eb="6">
      <t>wan</t>
    </rPh>
    <phoneticPr fontId="7" type="noConversion"/>
  </si>
  <si>
    <t>经三级化粪达到广东省地方标准《水污染物排放限值》（DB44/26-2001）第二时段三级标准后经市政管网排入污水处理厂进一步处理，尾水排入。废水经达标处理后对周围环境影响不大。</t>
    <phoneticPr fontId="6" type="noConversion"/>
  </si>
  <si>
    <t>包装袋年产生量(t/a)(固体废物)</t>
    <rPh sb="2" eb="3">
      <t>dai</t>
    </rPh>
    <rPh sb="13" eb="14">
      <t>gu'ti'fei'wu</t>
    </rPh>
    <phoneticPr fontId="7" type="noConversion"/>
  </si>
  <si>
    <t>项目所在地乐从镇地处珠江三角洲腹地，位于顺德西北部，处于佛山市中心城区的南部，离广州市30公里，距香港、澳门仅100多公里，325国道、佛山一环贯穿全境，东平水道和顺德水道夹镇而流，地理位置优越、水陆交通便利。镇域78平方公里，下辖5个居委会，19个村委会。常住人口23万人，其中户籍人口10万人，旅居港澳及世界各地的海外乡亲6万多人，是广东省著名侨乡。O 2014年，乐从镇实现地区生产总值159.91亿，增长7.51%。规模以上工业产值56.77亿元，比增8.54%。全镇社会零售额55.14亿元，比增15.17%；全社会固定资产投资61.01亿元，比增14.01%。O 乐从镇现代商贸和物流业兴旺发达，“中国家具商贸之都”、“中国塑料商贸之都”、“中国钢铁专业市场示范区”、“中国专业市场示范镇”等一顶顶“国字号”桂冠名满天下。乐从家具市场总面积达320万平方米，商户3500多家，市场规模全球最大。乐从钢材市场占地面积220多万平方米，拥有贸易商户近2700多家，年促成钢材贸易总量超过2000万吨，销售网络辐射全国各地，是全国最大的钢铁贸易集散地。乐从塑料市场的商铺经营面积达100万平方米，经销商户550多家，年促成塑料交易量200多万吨，居华南同类市场之冠。除三大市场外，乐从还拥有全球最大的汽车外饰件生产企业，全国最大的啤酒贴纸生产基地，广东最大的烟包及滤咀纸生产基地。</t>
  </si>
  <si>
    <t>北滘镇位于佛山市顺德区的东北部，地理位置优越，水陆交通便利，区域内有广珠西线、佛山一环，以及兴建中的广珠轻轨、广州新火车站等交通设施连接广州和港澳。全镇总面积92平方公里，辖20个村（社区），户籍人口11万人，常住人口30万人。O北滘作为全国知名的经济强镇，改革开放以来，历经从以农为纲，到工业立镇，再到工商并举，发展成现在的魅力小城，逐步走出了独具特色的发展之路。支柱产业主要包括家电、金属材料以及机械设备制造等，家电制造业优势尤为显著，产业集群程度高、产业链完善，是国际级家电生产基地之一，被评为“中国家电制造业重镇”。美的、碧桂园两家千亿龙头企业，以及精艺、惠而浦、浦项等一大批中外知名企业在北滘扎根成长。2015年全镇本地生产总值475亿元，规模以上工业产值2010亿元，国地税收入95.8亿元，城镇居民年人均可支配收入达51012元、农民人均纯收入16137元。</t>
  </si>
  <si>
    <t>勒流街道面积90.78平方公里，辖下共有22个村居，其中5个社区居民委员会，17个村民委员会，据统计，勒流街道目前户籍人口约11.7万人，流动人口约13.5万人。2015年勒流实现规模以上工业总产值达575.75亿元，同比增长3.19%，其中，固定资产投资额41.22亿元，同比增长17.76%。</t>
  </si>
  <si>
    <t>大良街道现为顺德区政府所在地，顺德的政治、文化、教育、商贸中心，是佛山市打造第二个百万人口中心组团城市的核心。辖区面积80.29平方公里，建成区面积36.11平方公里，下辖南华、升平、中区、金榜、文秀、新桂、顺峰、德和、北区、府又、新松、新滘、云路、近良、大门、红岗、南江、苏岗、五沙、高新区20个社区和逢沙、古鉴2个村，常住人口40.13万人，其中户籍人口22.76万人。O 2015年，大良实现地方生产总值400.97 亿元，规模以上工业企业产值301.48亿元，限额以上贸易住宿餐饮业营业额391.16亿元，全社会固定资产投资83.6亿元，工商税收100.67亿元，其中区级库税收29.20亿元。</t>
  </si>
  <si>
    <t>杏坛镇位于顺德西南部，距顺德区政府所在地大良街道约13公里,距广州市约50公里，香港80海里，澳门108公里。全镇总面积122平方公里，辖下24个村委会，6个居委会。O 改革开放以来，杏坛镇充分发挥自身的优势，打造“科技工业、生态农业、水乡文化”三大产业品牌战略，经济社会发展取得了长足进步。2015年，杏坛全镇实现地方生产总值190.18亿元，同比增长9.19%；全镇实现工业总产值488亿元，同比增长8.66%，规模以上工业产值359.5亿元，同比增长10.36%;实现农业总产值15.1304亿元，同比下降6.7%；财政总收入12.0721亿元，同比增长4.4%。</t>
  </si>
  <si>
    <t>容桂街道地处顺德区南部，靠近广州，毗邻港澳，地理位置优越，水陆交通便利，105国道、广珠西线、太澳高速、广珠城际轨道等重要交通枢纽贯穿而过。辖区面积80平方公里，下辖23个居委会，3个村委会，常住人口46.9万，其中户籍人口20.8万。先后获得“全国文明单位”、“中国品牌名镇”等荣誉称号。 O 容桂街道是珠三角的制造基地、经济重镇，改革开放30多年来，经济发展势头强劲。2015年容桂街道实现规模以上工业总产值1275亿元，地区生产总值397亿元，全社会固定资产投资71亿元，限额以上贸易住宿餐饮业营业额287亿元，工商税收59亿元，金融机构人民币储蓄总额460亿元，实际利用外资2.3亿美元。辖区内有各类企业及个体工商户超2.6万家，超亿元企业107家、超十亿元企业16家、超百亿元企业2家，高新技术企业54家；拥有占地13.5平方公里的顺德高新技术开发区以及顺德科技创新中心、中科院顺德基地、陶文铨院士工作站等创新平台和研究院所；拥有海信科龙、德美化工、万和新电气、华声股份、顺威股份、伊之密、科顺防水等7家上市公司以及盈天医药、鸿特精密、顾地科技等3家控股区外上市公司；基本形成了以智能家电、信息电子、医药保健、化工涂料、机械模具、电子商务等为主的产业体系。</t>
  </si>
  <si>
    <t>均安镇地处佛山市顺德区西南部。总面积79.45平方公里，户籍人口近9万人，外来务工人员9万多人，旅居港澳台的乡亲和海外华侨达4万多人，下辖8个居委会和5个村委会。均安镇一直以良好的生态环境、国际武打巨星李小龙故乡和盛产牛仔服装而闻名，是“中国牛仔服装名镇”、“中国曲艺之乡”、“中国民间文化艺术之乡”、“全国环境优美乡镇”、“广东省生态示范镇”、“广东省旅游度假区”。O 2015年，均安实现地方生产总值135.85亿元，增长9.23%；工农业总产值331.2亿元，增长9.17%；税收入库8.49亿元，增长4.35%；城乡居民银行储蓄存款余额86.43亿元，增长4.4%。</t>
  </si>
  <si>
    <t xml:space="preserve">2015年龙江镇完成工业产值637.9亿元，增长8.1%；商品销售总额126.9亿元，增长10.5%；全社会固定资产投资59.5亿元，增长18.2%；税收实际入库（不含调库收入）17.4亿元，增长2.1%，其中区级库入库6.48亿元，增长2.15%；公共财政预算收入8亿元，基金收入7.87亿元；人民币存款余额219.9亿元，增长1.9%，其中城乡居民储蓄余额180.3亿元，增长4.8%；人民币贷款余额141亿元，增长3.5%；实际利用外资2.8亿美元，增长472.4% </t>
  </si>
  <si>
    <t>&gt;550</t>
    <phoneticPr fontId="6" type="noConversion"/>
  </si>
  <si>
    <t>&gt;2000</t>
    <phoneticPr fontId="6" type="noConversion"/>
  </si>
  <si>
    <t>北滘</t>
    <phoneticPr fontId="6" type="noConversion"/>
  </si>
  <si>
    <t>大良</t>
    <phoneticPr fontId="6" type="noConversion"/>
  </si>
  <si>
    <t>均安</t>
    <phoneticPr fontId="6" type="noConversion"/>
  </si>
  <si>
    <t>乐从</t>
    <phoneticPr fontId="6" type="noConversion"/>
  </si>
  <si>
    <t>勒流</t>
    <phoneticPr fontId="6" type="noConversion"/>
  </si>
  <si>
    <t>龙江</t>
    <phoneticPr fontId="6" type="noConversion"/>
  </si>
  <si>
    <t>伦教</t>
    <phoneticPr fontId="6" type="noConversion"/>
  </si>
  <si>
    <t>容桂</t>
    <phoneticPr fontId="6" type="noConversion"/>
  </si>
  <si>
    <t>杏坛</t>
    <phoneticPr fontId="6" type="noConversion"/>
  </si>
  <si>
    <t>&lt;5.5, &gt;9</t>
    <phoneticPr fontId="6" type="noConversion"/>
  </si>
  <si>
    <r>
      <rPr>
        <sz val="10"/>
        <color rgb="FFFF0000"/>
        <rFont val="宋体"/>
        <family val="3"/>
        <charset val="134"/>
      </rPr>
      <t>≤</t>
    </r>
    <r>
      <rPr>
        <sz val="10"/>
        <color rgb="FFFF0000"/>
        <rFont val="Times New Roman"/>
        <family val="1"/>
      </rPr>
      <t>550</t>
    </r>
    <phoneticPr fontId="6" type="noConversion"/>
  </si>
  <si>
    <r>
      <rPr>
        <sz val="10"/>
        <color rgb="FFFF0000"/>
        <rFont val="宋体"/>
        <family val="3"/>
        <charset val="134"/>
      </rPr>
      <t>≤</t>
    </r>
    <r>
      <rPr>
        <sz val="10"/>
        <color rgb="FFFF0000"/>
        <rFont val="Times New Roman"/>
        <family val="1"/>
      </rPr>
      <t>2000</t>
    </r>
    <phoneticPr fontId="6" type="noConversion"/>
  </si>
  <si>
    <r>
      <rPr>
        <sz val="10"/>
        <color rgb="FFFF0000"/>
        <rFont val="宋体"/>
        <family val="3"/>
        <charset val="134"/>
      </rPr>
      <t>≤</t>
    </r>
    <r>
      <rPr>
        <sz val="10"/>
        <color rgb="FFFF0000"/>
        <rFont val="Times New Roman"/>
        <family val="1"/>
      </rPr>
      <t>450</t>
    </r>
    <phoneticPr fontId="6" type="noConversion"/>
  </si>
  <si>
    <r>
      <rPr>
        <sz val="10"/>
        <color rgb="FFFF0000"/>
        <rFont val="宋体"/>
        <family val="3"/>
        <charset val="134"/>
      </rPr>
      <t>≤</t>
    </r>
    <r>
      <rPr>
        <sz val="10"/>
        <color rgb="FFFF0000"/>
        <rFont val="Times New Roman"/>
        <family val="1"/>
      </rPr>
      <t>1000</t>
    </r>
    <phoneticPr fontId="6" type="noConversion"/>
  </si>
  <si>
    <r>
      <rPr>
        <sz val="10"/>
        <color rgb="FFFF0000"/>
        <rFont val="宋体"/>
        <family val="3"/>
        <charset val="134"/>
      </rPr>
      <t>≤</t>
    </r>
    <r>
      <rPr>
        <sz val="10"/>
        <color rgb="FFFF0000"/>
        <rFont val="Times New Roman"/>
        <family val="1"/>
      </rPr>
      <t>300</t>
    </r>
    <phoneticPr fontId="6" type="noConversion"/>
  </si>
  <si>
    <r>
      <rPr>
        <sz val="10"/>
        <color rgb="FFFF0000"/>
        <rFont val="宋体"/>
        <family val="3"/>
        <charset val="134"/>
      </rPr>
      <t>≤</t>
    </r>
    <r>
      <rPr>
        <sz val="10"/>
        <color rgb="FFFF0000"/>
        <rFont val="Times New Roman"/>
        <family val="1"/>
      </rPr>
      <t>500</t>
    </r>
    <phoneticPr fontId="6" type="noConversion"/>
  </si>
  <si>
    <r>
      <rPr>
        <sz val="10"/>
        <color indexed="10"/>
        <rFont val="宋体"/>
        <family val="3"/>
        <charset val="134"/>
      </rPr>
      <t>≤</t>
    </r>
    <r>
      <rPr>
        <sz val="10"/>
        <color indexed="10"/>
        <rFont val="Times New Roman"/>
        <family val="1"/>
      </rPr>
      <t>150</t>
    </r>
    <phoneticPr fontId="6" type="noConversion"/>
  </si>
  <si>
    <t>佛山</t>
  </si>
  <si>
    <t>珠江三角洲佛山南海分散式开发利用区</t>
  </si>
  <si>
    <t>孔隙水</t>
  </si>
  <si>
    <t>珠江三角洲佛山南海大沥至顺德勒流地质灾害易发区</t>
  </si>
  <si>
    <t>北江佛山三水地下水水源涵养区</t>
  </si>
  <si>
    <t>裂隙水</t>
  </si>
  <si>
    <t>珠江三角洲佛山南海地下水水源涵养区</t>
  </si>
  <si>
    <t>珠江三角洲佛山三水地下水水源涵养区</t>
  </si>
  <si>
    <t>珠江三角洲佛山高明地下水水源涵养区</t>
  </si>
  <si>
    <t>珠江三角洲佛山顺德不宜开采区</t>
  </si>
  <si>
    <t>珠江三角洲佛山高明不宜开采区</t>
  </si>
  <si>
    <t>珠江三角洲佛山三水储备区</t>
  </si>
  <si>
    <t>孔隙水岩溶水</t>
  </si>
  <si>
    <t>北江佛山三水应急水源区</t>
  </si>
  <si>
    <t>珠江三角洲佛山南海应急水源区</t>
  </si>
  <si>
    <t>报告表合同</t>
  </si>
  <si>
    <t>报告表委托函</t>
  </si>
  <si>
    <t>法定代表人身份证明书</t>
  </si>
  <si>
    <t>附件总数</t>
    <phoneticPr fontId="6" type="noConversion"/>
  </si>
  <si>
    <t>选中附件总数</t>
    <phoneticPr fontId="6" type="noConversion"/>
  </si>
  <si>
    <t>·</t>
    <phoneticPr fontId="7" type="noConversion"/>
  </si>
  <si>
    <t>材料名称</t>
    <phoneticPr fontId="6" type="noConversion"/>
  </si>
  <si>
    <t>数量</t>
    <phoneticPr fontId="6" type="noConversion"/>
  </si>
  <si>
    <t>单位</t>
    <phoneticPr fontId="6" type="noConversion"/>
  </si>
  <si>
    <t>是否边角料</t>
    <phoneticPr fontId="6" type="noConversion"/>
  </si>
  <si>
    <t>材料状态</t>
    <phoneticPr fontId="6" type="noConversion"/>
  </si>
  <si>
    <t>设备名称</t>
    <phoneticPr fontId="6" type="noConversion"/>
  </si>
  <si>
    <t>设备数量</t>
    <phoneticPr fontId="6" type="noConversion"/>
  </si>
  <si>
    <t>单位</t>
    <phoneticPr fontId="6" type="noConversion"/>
  </si>
  <si>
    <t>备注</t>
    <phoneticPr fontId="6" type="noConversion"/>
  </si>
  <si>
    <t>同意公示声明</t>
    <phoneticPr fontId="6" type="noConversion"/>
  </si>
  <si>
    <t>Ⅰ类</t>
    <phoneticPr fontId="7" type="noConversion"/>
  </si>
  <si>
    <t>Ⅲ类</t>
    <phoneticPr fontId="6" type="noConversion"/>
  </si>
  <si>
    <t>Ⅴ类</t>
    <phoneticPr fontId="6" type="noConversion"/>
  </si>
  <si>
    <t>H054406002T01</t>
  </si>
  <si>
    <t>H074406002T01</t>
  </si>
  <si>
    <t>H074406002T02</t>
  </si>
  <si>
    <t>H074406002T03</t>
  </si>
  <si>
    <t>H074406003U01</t>
  </si>
  <si>
    <t>H074406003U02</t>
  </si>
  <si>
    <t>H074406003V01</t>
  </si>
  <si>
    <t>H054406003W01</t>
  </si>
  <si>
    <t>H074406003W01</t>
  </si>
  <si>
    <t>H074406001Q01</t>
  </si>
  <si>
    <t>LAS</t>
    <phoneticPr fontId="6" type="noConversion"/>
  </si>
  <si>
    <r>
      <rPr>
        <sz val="10"/>
        <rFont val="宋体"/>
        <family val="3"/>
        <charset val="134"/>
      </rPr>
      <t>粪大肠菌群</t>
    </r>
    <phoneticPr fontId="6" type="noConversion"/>
  </si>
  <si>
    <r>
      <rPr>
        <sz val="10"/>
        <rFont val="宋体"/>
        <family val="3"/>
        <charset val="134"/>
      </rPr>
      <t>溶解氧</t>
    </r>
    <phoneticPr fontId="6" type="noConversion"/>
  </si>
  <si>
    <r>
      <rPr>
        <sz val="9"/>
        <color indexed="8"/>
        <rFont val="宋体"/>
        <family val="3"/>
        <charset val="134"/>
      </rPr>
      <t>名称缩写</t>
    </r>
    <phoneticPr fontId="23" type="noConversion"/>
  </si>
  <si>
    <r>
      <rPr>
        <sz val="9"/>
        <color indexed="8"/>
        <rFont val="宋体"/>
        <family val="3"/>
        <charset val="134"/>
      </rPr>
      <t>项目名称（与营业执照一致）</t>
    </r>
    <phoneticPr fontId="23" type="noConversion"/>
  </si>
  <si>
    <t>环评单位</t>
    <phoneticPr fontId="23" type="noConversion"/>
  </si>
  <si>
    <t>法人代表身份证</t>
    <phoneticPr fontId="23" type="noConversion"/>
  </si>
  <si>
    <r>
      <rPr>
        <sz val="9"/>
        <color indexed="8"/>
        <rFont val="宋体"/>
        <family val="3"/>
        <charset val="134"/>
      </rPr>
      <t>法人代表</t>
    </r>
    <phoneticPr fontId="23" type="noConversion"/>
  </si>
  <si>
    <t>联系人</t>
    <phoneticPr fontId="23" type="noConversion"/>
  </si>
  <si>
    <r>
      <rPr>
        <sz val="9"/>
        <color indexed="8"/>
        <rFont val="宋体"/>
        <family val="3"/>
        <charset val="134"/>
      </rPr>
      <t>联系电话</t>
    </r>
    <phoneticPr fontId="23" type="noConversion"/>
  </si>
  <si>
    <r>
      <rPr>
        <sz val="9"/>
        <color indexed="8"/>
        <rFont val="宋体"/>
        <family val="3"/>
        <charset val="134"/>
      </rPr>
      <t>邮政编码</t>
    </r>
    <phoneticPr fontId="23" type="noConversion"/>
  </si>
  <si>
    <t>地址(对照营业执照)</t>
    <rPh sb="3" eb="4">
      <t>dui'zhao</t>
    </rPh>
    <rPh sb="5" eb="6">
      <t>ying'ye'zhi'zhao</t>
    </rPh>
    <phoneticPr fontId="23" type="noConversion"/>
  </si>
  <si>
    <t>项目总投资（万元）(与营业执照一致)</t>
    <phoneticPr fontId="23" type="noConversion"/>
  </si>
  <si>
    <t>环保投资（万元）(比例约10-15%)</t>
    <rPh sb="9" eb="10">
      <t>bi'li</t>
    </rPh>
    <rPh sb="11" eb="12">
      <t>yue</t>
    </rPh>
    <phoneticPr fontId="23" type="noConversion"/>
  </si>
  <si>
    <r>
      <rPr>
        <sz val="9"/>
        <color indexed="8"/>
        <rFont val="宋体"/>
        <family val="3"/>
        <charset val="134"/>
      </rPr>
      <t>环保投资所占比例（</t>
    </r>
    <r>
      <rPr>
        <sz val="9"/>
        <color indexed="8"/>
        <rFont val="Times New Roman"/>
        <family val="1"/>
      </rPr>
      <t>%</t>
    </r>
    <r>
      <rPr>
        <sz val="9"/>
        <color indexed="8"/>
        <rFont val="宋体"/>
        <family val="3"/>
        <charset val="134"/>
      </rPr>
      <t>）</t>
    </r>
    <phoneticPr fontId="23" type="noConversion"/>
  </si>
  <si>
    <r>
      <rPr>
        <sz val="9"/>
        <color indexed="8"/>
        <rFont val="宋体"/>
        <family val="3"/>
        <charset val="134"/>
      </rPr>
      <t>占地面积（</t>
    </r>
    <r>
      <rPr>
        <sz val="9"/>
        <color indexed="8"/>
        <rFont val="Times New Roman"/>
        <family val="1"/>
      </rPr>
      <t>m</t>
    </r>
    <r>
      <rPr>
        <vertAlign val="superscript"/>
        <sz val="9"/>
        <color indexed="8"/>
        <rFont val="Times New Roman"/>
        <family val="1"/>
      </rPr>
      <t>2</t>
    </r>
    <r>
      <rPr>
        <sz val="9"/>
        <color indexed="8"/>
        <rFont val="宋体"/>
        <family val="3"/>
        <charset val="134"/>
      </rPr>
      <t>）(与经营场所使用证明或房产证明一致）</t>
    </r>
    <phoneticPr fontId="23" type="noConversion"/>
  </si>
  <si>
    <r>
      <rPr>
        <sz val="9"/>
        <color indexed="8"/>
        <rFont val="宋体"/>
        <family val="3"/>
        <charset val="134"/>
      </rPr>
      <t>经营面积（</t>
    </r>
    <r>
      <rPr>
        <sz val="9"/>
        <color indexed="8"/>
        <rFont val="Times New Roman"/>
        <family val="1"/>
      </rPr>
      <t>m</t>
    </r>
    <r>
      <rPr>
        <vertAlign val="superscript"/>
        <sz val="9"/>
        <color indexed="8"/>
        <rFont val="Times New Roman"/>
        <family val="1"/>
      </rPr>
      <t>2</t>
    </r>
    <r>
      <rPr>
        <sz val="9"/>
        <color indexed="8"/>
        <rFont val="宋体"/>
        <family val="3"/>
        <charset val="134"/>
      </rPr>
      <t>）(多层建筑要乘层数)</t>
    </r>
    <rPh sb="9" eb="10">
      <t>duo'ceng</t>
    </rPh>
    <rPh sb="11" eb="12">
      <t>jian'zhu</t>
    </rPh>
    <rPh sb="13" eb="14">
      <t>yao</t>
    </rPh>
    <rPh sb="14" eb="15">
      <t>cheng</t>
    </rPh>
    <rPh sb="15" eb="16">
      <t>ceng'shu</t>
    </rPh>
    <phoneticPr fontId="23" type="noConversion"/>
  </si>
  <si>
    <r>
      <rPr>
        <sz val="9"/>
        <color theme="1"/>
        <rFont val="宋体"/>
        <family val="3"/>
        <charset val="134"/>
      </rPr>
      <t>职工不住宿人数</t>
    </r>
    <r>
      <rPr>
        <sz val="9"/>
        <color theme="1"/>
        <rFont val="Times New Roman"/>
        <family val="1"/>
      </rPr>
      <t>(</t>
    </r>
    <r>
      <rPr>
        <sz val="9"/>
        <color theme="1"/>
        <rFont val="宋体"/>
        <family val="3"/>
        <charset val="134"/>
      </rPr>
      <t>人</t>
    </r>
    <r>
      <rPr>
        <sz val="9"/>
        <color theme="1"/>
        <rFont val="Times New Roman"/>
        <family val="1"/>
      </rPr>
      <t>)</t>
    </r>
    <phoneticPr fontId="23" type="noConversion"/>
  </si>
  <si>
    <t>职工住宿人数(人)</t>
    <phoneticPr fontId="23" type="noConversion"/>
  </si>
  <si>
    <r>
      <rPr>
        <sz val="9"/>
        <color theme="1"/>
        <rFont val="宋体"/>
        <family val="3"/>
        <charset val="134"/>
      </rPr>
      <t>日工作时间</t>
    </r>
    <r>
      <rPr>
        <sz val="9"/>
        <color theme="1"/>
        <rFont val="Times New Roman"/>
        <family val="1"/>
      </rPr>
      <t>(h)</t>
    </r>
    <phoneticPr fontId="23" type="noConversion"/>
  </si>
  <si>
    <r>
      <rPr>
        <sz val="9"/>
        <color theme="1"/>
        <rFont val="宋体"/>
        <family val="3"/>
        <charset val="134"/>
      </rPr>
      <t>年工作时间</t>
    </r>
    <r>
      <rPr>
        <sz val="9"/>
        <color theme="1"/>
        <rFont val="Times New Roman"/>
        <family val="1"/>
      </rPr>
      <t>(d)</t>
    </r>
    <phoneticPr fontId="23" type="noConversion"/>
  </si>
  <si>
    <t>投产时间(一般以接单时间往后推半年计算，多以年计算)</t>
    <rPh sb="5" eb="6">
      <t>yi'ban</t>
    </rPh>
    <rPh sb="7" eb="8">
      <t>yi</t>
    </rPh>
    <rPh sb="8" eb="9">
      <t>jie'dan</t>
    </rPh>
    <rPh sb="10" eb="11">
      <t>shi'jian</t>
    </rPh>
    <rPh sb="12" eb="13">
      <t>wang'hou</t>
    </rPh>
    <rPh sb="14" eb="15">
      <t>tui</t>
    </rPh>
    <rPh sb="15" eb="16">
      <t>ban'nian</t>
    </rPh>
    <rPh sb="17" eb="18">
      <t>ji'suan</t>
    </rPh>
    <rPh sb="20" eb="21">
      <t>duo'yi</t>
    </rPh>
    <rPh sb="22" eb="23">
      <t>nian</t>
    </rPh>
    <rPh sb="23" eb="24">
      <t>ji'suan</t>
    </rPh>
    <phoneticPr fontId="23" type="noConversion"/>
  </si>
  <si>
    <t>产品名称(2个产品或以上用顿号分开)</t>
    <rPh sb="6" eb="7">
      <t>ge</t>
    </rPh>
    <rPh sb="7" eb="8">
      <t>chan'pin</t>
    </rPh>
    <rPh sb="9" eb="10">
      <t>huo'yi'shang</t>
    </rPh>
    <rPh sb="12" eb="13">
      <t>yong</t>
    </rPh>
    <rPh sb="13" eb="14">
      <t>dun'hao</t>
    </rPh>
    <rPh sb="15" eb="16">
      <t>fen'kai</t>
    </rPh>
    <phoneticPr fontId="23" type="noConversion"/>
  </si>
  <si>
    <t>噪声污染源设备(清单中数量最多的2-3种设备)</t>
    <rPh sb="5" eb="6">
      <t>she'bei</t>
    </rPh>
    <phoneticPr fontId="23" type="noConversion"/>
  </si>
  <si>
    <t>噪声监测点数目</t>
    <phoneticPr fontId="23" type="noConversion"/>
  </si>
  <si>
    <r>
      <rPr>
        <sz val="9"/>
        <color indexed="8"/>
        <rFont val="宋体"/>
        <family val="3"/>
        <charset val="134"/>
      </rPr>
      <t>纬度</t>
    </r>
    <phoneticPr fontId="23" type="noConversion"/>
  </si>
  <si>
    <r>
      <rPr>
        <sz val="9"/>
        <color indexed="8"/>
        <rFont val="宋体"/>
        <family val="3"/>
        <charset val="134"/>
      </rPr>
      <t>经度</t>
    </r>
    <phoneticPr fontId="23" type="noConversion"/>
  </si>
  <si>
    <r>
      <rPr>
        <sz val="9"/>
        <color indexed="8"/>
        <rFont val="宋体"/>
        <family val="3"/>
        <charset val="134"/>
      </rPr>
      <t>东</t>
    </r>
    <phoneticPr fontId="23" type="noConversion"/>
  </si>
  <si>
    <r>
      <rPr>
        <sz val="9"/>
        <color indexed="8"/>
        <rFont val="宋体"/>
        <family val="3"/>
        <charset val="134"/>
      </rPr>
      <t>南</t>
    </r>
    <phoneticPr fontId="23" type="noConversion"/>
  </si>
  <si>
    <r>
      <rPr>
        <sz val="9"/>
        <color indexed="8"/>
        <rFont val="宋体"/>
        <family val="3"/>
        <charset val="134"/>
      </rPr>
      <t>西</t>
    </r>
    <phoneticPr fontId="23" type="noConversion"/>
  </si>
  <si>
    <r>
      <rPr>
        <sz val="9"/>
        <color indexed="8"/>
        <rFont val="宋体"/>
        <family val="3"/>
        <charset val="134"/>
      </rPr>
      <t>北</t>
    </r>
    <phoneticPr fontId="23" type="noConversion"/>
  </si>
  <si>
    <t>所在区镇</t>
    <phoneticPr fontId="23" type="noConversion"/>
  </si>
  <si>
    <t>地下水区域</t>
    <phoneticPr fontId="23" type="noConversion"/>
  </si>
  <si>
    <t>地下水类型</t>
    <phoneticPr fontId="23" type="noConversion"/>
  </si>
  <si>
    <t>地下水水体编号</t>
    <phoneticPr fontId="23" type="noConversion"/>
  </si>
  <si>
    <t>大良污水厂特别选项</t>
    <phoneticPr fontId="23" type="noConversion"/>
  </si>
  <si>
    <t>生活污水排放标准</t>
    <phoneticPr fontId="23" type="noConversion"/>
  </si>
  <si>
    <r>
      <rPr>
        <sz val="9"/>
        <color theme="1"/>
        <rFont val="宋体"/>
        <family val="3"/>
        <charset val="134"/>
      </rPr>
      <t>声环境质量标准</t>
    </r>
    <phoneticPr fontId="23" type="noConversion"/>
  </si>
  <si>
    <r>
      <rPr>
        <sz val="9"/>
        <color theme="1"/>
        <rFont val="宋体"/>
        <family val="3"/>
        <charset val="134"/>
      </rPr>
      <t>地下水质量标准</t>
    </r>
    <phoneticPr fontId="23" type="noConversion"/>
  </si>
  <si>
    <r>
      <rPr>
        <sz val="9"/>
        <color theme="1"/>
        <rFont val="宋体"/>
        <family val="3"/>
        <charset val="134"/>
      </rPr>
      <t>是否污水处理厂纳污范围</t>
    </r>
    <phoneticPr fontId="23" type="noConversion"/>
  </si>
  <si>
    <r>
      <rPr>
        <sz val="9"/>
        <color theme="1"/>
        <rFont val="宋体"/>
        <family val="3"/>
        <charset val="134"/>
      </rPr>
      <t>生活污水去向</t>
    </r>
    <phoneticPr fontId="23" type="noConversion"/>
  </si>
  <si>
    <r>
      <rPr>
        <sz val="9"/>
        <color theme="1"/>
        <rFont val="宋体"/>
        <family val="3"/>
        <charset val="134"/>
      </rPr>
      <t>生活污水环境影响分析</t>
    </r>
    <phoneticPr fontId="23" type="noConversion"/>
  </si>
  <si>
    <r>
      <rPr>
        <sz val="9"/>
        <color theme="1"/>
        <rFont val="宋体"/>
        <family val="3"/>
        <charset val="134"/>
      </rPr>
      <t>纳污水体</t>
    </r>
    <phoneticPr fontId="23" type="noConversion"/>
  </si>
  <si>
    <r>
      <rPr>
        <sz val="9"/>
        <color theme="1"/>
        <rFont val="宋体"/>
        <family val="3"/>
        <charset val="134"/>
      </rPr>
      <t>地表水质量标准</t>
    </r>
    <phoneticPr fontId="23" type="noConversion"/>
  </si>
  <si>
    <t>纳污水体</t>
    <phoneticPr fontId="6" type="noConversion"/>
  </si>
  <si>
    <t>地表水质量标准</t>
    <phoneticPr fontId="6" type="noConversion"/>
  </si>
  <si>
    <t>北滘</t>
    <phoneticPr fontId="6" type="noConversion"/>
  </si>
  <si>
    <t>潭洲水道</t>
    <phoneticPr fontId="6" type="noConversion"/>
  </si>
  <si>
    <t>顺德支流</t>
    <phoneticPr fontId="6" type="noConversion"/>
  </si>
  <si>
    <t>李家沙水道</t>
    <phoneticPr fontId="6" type="noConversion"/>
  </si>
  <si>
    <t>海洲水道</t>
    <phoneticPr fontId="6" type="noConversion"/>
  </si>
  <si>
    <t>内河涌</t>
    <phoneticPr fontId="6" type="noConversion"/>
  </si>
  <si>
    <t>内河涌</t>
  </si>
  <si>
    <t>杏坛</t>
    <phoneticPr fontId="6" type="noConversion"/>
  </si>
  <si>
    <t>是</t>
    <phoneticPr fontId="6" type="noConversion"/>
  </si>
  <si>
    <t>是否进入污水厂</t>
    <phoneticPr fontId="6" type="noConversion"/>
  </si>
  <si>
    <t>所在区镇</t>
    <phoneticPr fontId="6" type="noConversion"/>
  </si>
  <si>
    <t>大良污水厂特别选项</t>
    <phoneticPr fontId="6" type="noConversion"/>
  </si>
  <si>
    <t>大良</t>
    <phoneticPr fontId="6" type="noConversion"/>
  </si>
  <si>
    <t>大门</t>
  </si>
  <si>
    <t>逢沙</t>
  </si>
  <si>
    <t>无</t>
    <phoneticPr fontId="6" type="noConversion"/>
  </si>
  <si>
    <t>辅助列</t>
    <phoneticPr fontId="6" type="noConversion"/>
  </si>
  <si>
    <t>职工总人数(人)</t>
    <phoneticPr fontId="23" type="noConversion"/>
  </si>
  <si>
    <t>No.</t>
  </si>
  <si>
    <t>Item</t>
  </si>
  <si>
    <t>✓</t>
  </si>
  <si>
    <t>平面布置图</t>
  </si>
  <si>
    <t>工艺流程图</t>
  </si>
  <si>
    <r>
      <t>废弃污染物描述</t>
    </r>
    <r>
      <rPr>
        <sz val="11"/>
        <color theme="0"/>
        <rFont val="等线"/>
        <family val="3"/>
        <charset val="134"/>
        <scheme val="minor"/>
      </rPr>
      <t>-范例</t>
    </r>
  </si>
  <si>
    <t>报告表附件</t>
  </si>
  <si>
    <t>卫星图信息 kml/kmz</t>
    <phoneticPr fontId="7" type="noConversion"/>
  </si>
  <si>
    <t>制表清单</t>
    <phoneticPr fontId="7" type="noConversion"/>
  </si>
  <si>
    <t>备注</t>
    <phoneticPr fontId="7" type="noConversion"/>
  </si>
  <si>
    <t>备注</t>
    <phoneticPr fontId="7" type="noConversion"/>
  </si>
  <si>
    <r>
      <t>相同色的单元格有关联</t>
    </r>
    <r>
      <rPr>
        <b/>
        <sz val="9"/>
        <color rgb="FF00B0F0"/>
        <rFont val="Times New Roman"/>
        <family val="1"/>
      </rPr>
      <t xml:space="preserve">       </t>
    </r>
  </si>
  <si>
    <t>粗线框的单元格有下拉菜单</t>
    <phoneticPr fontId="7" type="noConversion"/>
  </si>
  <si>
    <t>Q839 其他卫生活动</t>
  </si>
  <si>
    <t>Q8330 门诊部</t>
    <phoneticPr fontId="23" type="noConversion"/>
  </si>
  <si>
    <t>Q83 卫生</t>
    <phoneticPr fontId="23" type="noConversion"/>
  </si>
  <si>
    <t>N7852 游览景区管理</t>
    <phoneticPr fontId="23" type="noConversion"/>
  </si>
  <si>
    <t>N77 生态保护和环境治理业</t>
    <phoneticPr fontId="23" type="noConversion"/>
  </si>
  <si>
    <t>N7610 防洪除涝设施管理服务</t>
  </si>
  <si>
    <t>N76 水利管理业</t>
  </si>
  <si>
    <t>M7461 环境保护监测</t>
    <phoneticPr fontId="23" type="noConversion"/>
  </si>
  <si>
    <t>M73 研究和试验发展</t>
    <phoneticPr fontId="23" type="noConversion"/>
  </si>
  <si>
    <t>L72 商务服务业</t>
  </si>
  <si>
    <t>K70 房地产业</t>
  </si>
  <si>
    <t>H62 餐饮业</t>
    <phoneticPr fontId="23" type="noConversion"/>
  </si>
  <si>
    <t>G5990 其他仓储业</t>
  </si>
  <si>
    <t>G59 仓储业</t>
    <phoneticPr fontId="23" type="noConversion"/>
  </si>
  <si>
    <t>E7610 防洪除涝设施管理</t>
    <phoneticPr fontId="23" type="noConversion"/>
  </si>
  <si>
    <t>E4852 管道工程建筑</t>
  </si>
  <si>
    <t xml:space="preserve">E4822 河湖治理及防洪设施工程建筑  </t>
  </si>
  <si>
    <t>E4813 市政道路工程建筑</t>
  </si>
  <si>
    <t>E48 土木工程建筑业</t>
    <phoneticPr fontId="23" type="noConversion"/>
  </si>
  <si>
    <t xml:space="preserve">D44 电力、热力生产和供应业 </t>
  </si>
  <si>
    <t>C81 其他服务业</t>
  </si>
  <si>
    <t>C42 废弃资源综合利用业</t>
  </si>
  <si>
    <t>C3971 电子元件及组件制造</t>
  </si>
  <si>
    <t>C39 计算机、通信和其他电子设备制造业</t>
    <phoneticPr fontId="23" type="noConversion"/>
  </si>
  <si>
    <t xml:space="preserve">C3879 灯用电器附件及其他照明器具制造 </t>
  </si>
  <si>
    <t>C3872 照明灯具制造</t>
    <phoneticPr fontId="23" type="noConversion"/>
  </si>
  <si>
    <t>C3859 其他家用电力器具制造</t>
  </si>
  <si>
    <t xml:space="preserve">C3857 家用电力器具专用配件制造    </t>
  </si>
  <si>
    <t>C3854 家用厨房电器具制造</t>
  </si>
  <si>
    <t>C3852 家用空气调节器制造</t>
  </si>
  <si>
    <t>C385 家用电力器具制造</t>
    <phoneticPr fontId="23" type="noConversion"/>
  </si>
  <si>
    <t>C383 电线、电缆、光缆及电工器材制造</t>
  </si>
  <si>
    <t>C3829 其他输配电及控制设备制造</t>
  </si>
  <si>
    <t xml:space="preserve">C3823 配电开关控制设备制造 </t>
    <phoneticPr fontId="23" type="noConversion"/>
  </si>
  <si>
    <t>C3819 微电机及其他电机制造</t>
    <phoneticPr fontId="23" type="noConversion"/>
  </si>
  <si>
    <t xml:space="preserve">C38 电气机械和器材制造 </t>
    <phoneticPr fontId="23" type="noConversion"/>
  </si>
  <si>
    <t>C37 铁路、船舶、航空航天和其他运输设备制造业</t>
    <phoneticPr fontId="23" type="noConversion"/>
  </si>
  <si>
    <t>C3660 汽车零部件及配件制造</t>
    <phoneticPr fontId="23" type="noConversion"/>
  </si>
  <si>
    <t xml:space="preserve">C3561 电工机械专用设备制造                </t>
  </si>
  <si>
    <t>C354 印刷、制药、日化及日用品生产专用设备制造</t>
    <phoneticPr fontId="23" type="noConversion"/>
  </si>
  <si>
    <t>C3525 模具制造</t>
  </si>
  <si>
    <t>C35 专用设备制造业</t>
    <phoneticPr fontId="23" type="noConversion"/>
  </si>
  <si>
    <t>C3484 机械零部件加工</t>
    <phoneticPr fontId="23" type="noConversion"/>
  </si>
  <si>
    <t>C3483 通用设备制造业</t>
    <phoneticPr fontId="23" type="noConversion"/>
  </si>
  <si>
    <t>C3482 紧固件制造</t>
    <phoneticPr fontId="23" type="noConversion"/>
  </si>
  <si>
    <t>C348 通用零部件制造</t>
  </si>
  <si>
    <t>C3462 风机、风扇制造</t>
    <phoneticPr fontId="23" type="noConversion"/>
  </si>
  <si>
    <t xml:space="preserve">C3433 生产专用车辆制造 </t>
    <phoneticPr fontId="23" type="noConversion"/>
  </si>
  <si>
    <t>C3431 轻小型起重设备制造</t>
  </si>
  <si>
    <t xml:space="preserve">C342 金属加工机械制造 </t>
  </si>
  <si>
    <t>C34 通用设备制造业</t>
    <phoneticPr fontId="23" type="noConversion"/>
  </si>
  <si>
    <t xml:space="preserve">C3392 交通及公共管理用金属标牌制造   </t>
    <phoneticPr fontId="23" type="noConversion"/>
  </si>
  <si>
    <t>C339  其他金属制品制造</t>
    <phoneticPr fontId="23" type="noConversion"/>
  </si>
  <si>
    <t>C3389 其他金属制日用品制造</t>
  </si>
  <si>
    <t>C3383 金属制卫生器具制造</t>
  </si>
  <si>
    <t>C3381 金属制厨房用器具制造</t>
  </si>
  <si>
    <t>C3352 建筑装饰及水暖管道零件制造</t>
    <phoneticPr fontId="23" type="noConversion"/>
  </si>
  <si>
    <t>C3311 金属结构制造</t>
  </si>
  <si>
    <t>C33  金属制品业</t>
  </si>
  <si>
    <t>C3140 钢压延加工</t>
  </si>
  <si>
    <t>C3071 卫生陶瓷制品制造</t>
    <phoneticPr fontId="23" type="noConversion"/>
  </si>
  <si>
    <t>C3051 技术玻璃制品制造</t>
  </si>
  <si>
    <t>C305 玻璃制品制造</t>
    <phoneticPr fontId="23" type="noConversion"/>
  </si>
  <si>
    <t>C3039 其他建筑材料制造</t>
    <phoneticPr fontId="23" type="noConversion"/>
  </si>
  <si>
    <t>C3033 建筑用石加工</t>
  </si>
  <si>
    <t>C303 砖瓦、石材等建筑材料制造</t>
    <phoneticPr fontId="23" type="noConversion"/>
  </si>
  <si>
    <t>C30 塑料制品业</t>
    <phoneticPr fontId="23" type="noConversion"/>
  </si>
  <si>
    <t>C30 非金属矿物制品业</t>
    <phoneticPr fontId="23" type="noConversion"/>
  </si>
  <si>
    <t>C2929 其他塑料制品制造</t>
  </si>
  <si>
    <t>C2928 塑料零件制造</t>
  </si>
  <si>
    <t>C2927 日用塑料制品制造</t>
  </si>
  <si>
    <t>C2926 塑料包装箱及容器制造</t>
  </si>
  <si>
    <t>C2924 泡沫塑料制造</t>
    <phoneticPr fontId="23" type="noConversion"/>
  </si>
  <si>
    <t xml:space="preserve">C2922 塑料板、管、型材制造  </t>
  </si>
  <si>
    <t>C292 塑料制品业</t>
  </si>
  <si>
    <t xml:space="preserve">C29  橡胶和塑料制品业 </t>
  </si>
  <si>
    <t>C273 中药饮片加工</t>
  </si>
  <si>
    <t>C2682 化妆品制造</t>
  </si>
  <si>
    <t>C2669 其他专用化学产品制造</t>
  </si>
  <si>
    <t>C2641 涂料制造</t>
  </si>
  <si>
    <t>C263 农药制造</t>
  </si>
  <si>
    <t>C26 化学原料和化学制品制造业</t>
    <phoneticPr fontId="23" type="noConversion"/>
  </si>
  <si>
    <t>C2450 玩具制造</t>
  </si>
  <si>
    <t>C2438 珠宝首饰及有关物品的制造</t>
  </si>
  <si>
    <t>C24 文教、工美、体育和娱乐用品制造业</t>
    <phoneticPr fontId="23" type="noConversion"/>
  </si>
  <si>
    <t>C2319 包装装潢及其他印刷</t>
  </si>
  <si>
    <t>C231 印刷</t>
  </si>
  <si>
    <t>C23 印刷和记录媒介复制业</t>
    <phoneticPr fontId="23" type="noConversion"/>
  </si>
  <si>
    <t>C2231 纸和纸板容器制造</t>
    <phoneticPr fontId="23" type="noConversion"/>
  </si>
  <si>
    <t>C22 造纸和纸制品业</t>
    <phoneticPr fontId="23" type="noConversion"/>
  </si>
  <si>
    <t>C21 家具制造业</t>
  </si>
  <si>
    <t>C2013 单板加工</t>
    <phoneticPr fontId="23" type="noConversion"/>
  </si>
  <si>
    <t>C2011 锯材加工</t>
    <phoneticPr fontId="23" type="noConversion"/>
  </si>
  <si>
    <t>C20 木材加工和木、竹、藤、棕、草制品业</t>
    <phoneticPr fontId="23" type="noConversion"/>
  </si>
  <si>
    <t>C1789 篷、帆布制造</t>
  </si>
  <si>
    <t>C17 纺织业</t>
  </si>
  <si>
    <t>C1421  糖果、巧克力制造</t>
  </si>
  <si>
    <t>C14 食品制造业</t>
    <phoneticPr fontId="6" type="noConversion"/>
  </si>
  <si>
    <t>C1391 淀粉及淀粉制品制造 </t>
  </si>
  <si>
    <t>07930 洗染服务</t>
  </si>
  <si>
    <t>C181 纺织服装制造业</t>
    <phoneticPr fontId="6" type="noConversion"/>
  </si>
  <si>
    <t>C2662 专项化学用品制造</t>
    <phoneticPr fontId="6" type="noConversion"/>
  </si>
  <si>
    <t>C26 化学原料和化学品制造业</t>
    <phoneticPr fontId="6" type="noConversion"/>
  </si>
  <si>
    <t>C2921 塑料薄膜制造</t>
    <phoneticPr fontId="6" type="noConversion"/>
  </si>
  <si>
    <t>C3585 机械治疗及病房护理设备制造</t>
    <phoneticPr fontId="6" type="noConversion"/>
  </si>
  <si>
    <t>C3599 其他专用设备制造</t>
    <phoneticPr fontId="6" type="noConversion"/>
  </si>
  <si>
    <t>C3951 电视机制造</t>
    <phoneticPr fontId="6" type="noConversion"/>
  </si>
  <si>
    <t>不锈钢管</t>
    <phoneticPr fontId="6" type="noConversion"/>
  </si>
  <si>
    <t>制锁工艺</t>
    <phoneticPr fontId="6" type="noConversion"/>
  </si>
  <si>
    <t>布菲餐桌</t>
    <phoneticPr fontId="6" type="noConversion"/>
  </si>
  <si>
    <t>电器塑料配件</t>
    <phoneticPr fontId="6" type="noConversion"/>
  </si>
  <si>
    <t>电路板插头加工</t>
    <phoneticPr fontId="6" type="noConversion"/>
  </si>
  <si>
    <t>实木家具工艺</t>
    <phoneticPr fontId="6" type="noConversion"/>
  </si>
  <si>
    <t>电器配件组装</t>
    <phoneticPr fontId="6" type="noConversion"/>
  </si>
  <si>
    <t>五金加工</t>
    <phoneticPr fontId="6" type="noConversion"/>
  </si>
  <si>
    <t>选择参考工艺图</t>
    <phoneticPr fontId="7" type="noConversion"/>
  </si>
  <si>
    <t>编号</t>
    <phoneticPr fontId="7" type="noConversion"/>
  </si>
  <si>
    <t>皮质家具工艺</t>
    <phoneticPr fontId="6" type="noConversion"/>
  </si>
  <si>
    <t>塑料色母生产</t>
    <phoneticPr fontId="6" type="noConversion"/>
  </si>
  <si>
    <t>超声波焊机-塑料</t>
    <phoneticPr fontId="6" type="noConversion"/>
  </si>
  <si>
    <t>振光机-混水阀</t>
    <phoneticPr fontId="6" type="noConversion"/>
  </si>
  <si>
    <t>软皮床工艺</t>
    <phoneticPr fontId="6" type="noConversion"/>
  </si>
  <si>
    <t>棕榈床垫加工</t>
    <phoneticPr fontId="6" type="noConversion"/>
  </si>
  <si>
    <t>幻灯片总数</t>
    <phoneticPr fontId="6" type="noConversion"/>
  </si>
  <si>
    <t>伦教产业特色非常鲜明。形成以珠宝首饰、机械装备、文化旅游业为主的产业集群，2014年实现规模以上工业总产值508亿元，其中珠宝首饰业销售额达308亿元，成为继家电、机械后顺德又一支柱产业，拥有周大福、周生生等知名企业。机械装备业以省打造珠江西岸机械装备产业带为契机，建设伦教机械装备工贸基地，其中华南机械城先拔头筹，率先进行改造。旅游文化业亮点纷呈。三洲“678文化街”开门迎客，长鹿农庄成为顺德首个国家5A景区，香云纱产业发展稳步推进。</t>
    <phoneticPr fontId="6" type="noConversion"/>
  </si>
  <si>
    <r>
      <t>根据《关于同意广东省地下水功能区划的复函》（粤办函[2009]459号），项目所在区域属于珠江三角洲佛山南海大沥至顺德勒流地质灾害易发区（保护区），地下水功能区保护目标为《地下水质量标准》（GB/T14848-93）的III类标准，地下水矿化度为0.3～&gt;0.85g/L，水质现状类别为I~V类，维持较高水位，沿海边界地下水位始终不低于邻近咸水区地下水位，局部Fe、NH</t>
    </r>
    <r>
      <rPr>
        <vertAlign val="superscript"/>
        <sz val="11"/>
        <color theme="1"/>
        <rFont val="等线"/>
        <family val="3"/>
        <charset val="134"/>
        <scheme val="minor"/>
      </rPr>
      <t>4+</t>
    </r>
    <r>
      <rPr>
        <sz val="11"/>
        <color theme="1"/>
        <rFont val="等线"/>
        <family val="2"/>
        <scheme val="minor"/>
      </rPr>
      <t>超标，个别地段承压水为咸水，这与南方地区土壤铁和矿物盐含量较高是有关系的。项目所在地区基本是由自来水供应饮用水，水源基本来自江河地表水，因此基本不对地下水开采，没有地下水的集中饮用水源，项目所在区域未出现因地下水开采而引起环境水文地质问题。</t>
    </r>
    <phoneticPr fontId="23" type="noConversion"/>
  </si>
  <si>
    <r>
      <t>根据《广东省地下水功能区划成果表》可知，项目所在区域属于珠江三角洲佛山南海分散式开发利用区。该区域地貌类型为一般平原区，地下水类型为孔隙水，面积为940.49km</t>
    </r>
    <r>
      <rPr>
        <vertAlign val="superscript"/>
        <sz val="11"/>
        <color theme="1"/>
        <rFont val="等线"/>
        <family val="3"/>
        <charset val="134"/>
        <scheme val="minor"/>
      </rPr>
      <t>2</t>
    </r>
    <r>
      <rPr>
        <sz val="11"/>
        <color theme="1"/>
        <rFont val="等线"/>
        <family val="3"/>
        <charset val="134"/>
        <scheme val="minor"/>
      </rPr>
      <t>，矿化度0.4~0.78g/L。地下水水质现状为《地下水质量标准》（GB/T 14848-93）中的Ⅰ-Ⅳ类，地下水功能保护目标为III类，开采水位降深控制在5-8m以内，南部Fe、NH</t>
    </r>
    <r>
      <rPr>
        <vertAlign val="superscript"/>
        <sz val="11"/>
        <color theme="1"/>
        <rFont val="等线"/>
        <family val="3"/>
        <charset val="134"/>
        <scheme val="minor"/>
      </rPr>
      <t>4+</t>
    </r>
    <r>
      <rPr>
        <sz val="11"/>
        <color theme="1"/>
        <rFont val="等线"/>
        <family val="3"/>
        <charset val="134"/>
        <scheme val="minor"/>
      </rPr>
      <t>超标。项目所在地区基本是由自来水供应饮用水，水源基本来自江河地表水，因此基本不对地下水开采，没有地下水的集中饮用水源，项目所在区域未出现因地下水开采而引起环境水文地质问题。</t>
    </r>
    <phoneticPr fontId="23" type="noConversion"/>
  </si>
  <si>
    <t>地表水功能</t>
    <phoneticPr fontId="6" type="noConversion"/>
  </si>
  <si>
    <t>综合用水</t>
    <phoneticPr fontId="6" type="noConversion"/>
  </si>
  <si>
    <t>景观、农用功能</t>
    <phoneticPr fontId="6" type="noConversion"/>
  </si>
  <si>
    <t>地表水功能</t>
    <phoneticPr fontId="7" type="noConversion"/>
  </si>
  <si>
    <t>H074406002S01</t>
    <phoneticPr fontId="6" type="noConversion"/>
  </si>
  <si>
    <r>
      <t>根据《广东省地下水功能区划成果表》可知，项目所在区域属珠江三角洲佛山顺德不宜开发区，该区域地貌类型为一般平原区，地下水类型为孔隙水，面积为411.52km</t>
    </r>
    <r>
      <rPr>
        <vertAlign val="superscript"/>
        <sz val="11"/>
        <color theme="1"/>
        <rFont val="等线"/>
        <family val="3"/>
        <charset val="134"/>
        <scheme val="minor"/>
      </rPr>
      <t>2</t>
    </r>
    <r>
      <rPr>
        <sz val="11"/>
        <color theme="1"/>
        <rFont val="等线"/>
        <family val="2"/>
        <scheme val="minor"/>
      </rPr>
      <t>，矿化度1-＞10g/L。地下水水质现状为《地下水质量标准》（GB/T14848-93）中的Ⅴ类，地下水功能保护目标为：Ⅴ类，开采水位维持现状，目前Fe、NH</t>
    </r>
    <r>
      <rPr>
        <vertAlign val="superscript"/>
        <sz val="11"/>
        <color theme="1"/>
        <rFont val="等线"/>
        <family val="3"/>
        <charset val="134"/>
        <scheme val="minor"/>
      </rPr>
      <t>4+</t>
    </r>
    <r>
      <rPr>
        <sz val="11"/>
        <color theme="1"/>
        <rFont val="等线"/>
        <family val="2"/>
        <scheme val="minor"/>
      </rPr>
      <t>、矿化度超标。</t>
    </r>
    <phoneticPr fontId="23" type="noConversion"/>
  </si>
  <si>
    <t>Ⅳ类</t>
    <phoneticPr fontId="7" type="noConversion"/>
  </si>
  <si>
    <t>容桂</t>
  </si>
  <si>
    <t>五金加工</t>
  </si>
  <si>
    <t>评估报告</t>
    <phoneticPr fontId="7" type="noConversion"/>
  </si>
  <si>
    <t>X</t>
    <phoneticPr fontId="7" type="noConversion"/>
  </si>
  <si>
    <t>X</t>
    <phoneticPr fontId="7" type="noConversion"/>
  </si>
  <si>
    <t>备案附件</t>
    <phoneticPr fontId="7" type="noConversion"/>
  </si>
  <si>
    <t>经三级化粪处理后排入污水处理厂</t>
    <rPh sb="3" eb="4">
      <t>hua'fen</t>
    </rPh>
    <phoneticPr fontId="6" type="noConversion"/>
  </si>
  <si>
    <t>龙江</t>
  </si>
  <si>
    <t>乐从</t>
  </si>
  <si>
    <t>伦教</t>
  </si>
  <si>
    <t>均安</t>
  </si>
  <si>
    <t>北滘</t>
  </si>
  <si>
    <t>勒流</t>
  </si>
  <si>
    <t>大良</t>
  </si>
  <si>
    <t>杏坛</t>
  </si>
  <si>
    <t>0类</t>
    <phoneticPr fontId="7" type="noConversion"/>
  </si>
  <si>
    <t>1类</t>
    <phoneticPr fontId="7" type="noConversion"/>
  </si>
  <si>
    <t>4a类</t>
    <phoneticPr fontId="7" type="noConversion"/>
  </si>
  <si>
    <t>4b类</t>
    <phoneticPr fontId="7" type="noConversion"/>
  </si>
  <si>
    <t>联系电话</t>
  </si>
  <si>
    <t>邮政编码</t>
  </si>
  <si>
    <t>评价经费</t>
  </si>
  <si>
    <r>
      <t>1.0</t>
    </r>
    <r>
      <rPr>
        <sz val="9"/>
        <color theme="1"/>
        <rFont val="宋体"/>
        <family val="3"/>
        <charset val="134"/>
      </rPr>
      <t>万元</t>
    </r>
  </si>
  <si>
    <t>0898-88357658</t>
  </si>
  <si>
    <t>海南省三亚市吉阳区河东路138号环建大厦（地质大厦）九楼</t>
  </si>
  <si>
    <t>国环评证乙字第3004号</t>
  </si>
  <si>
    <t>评价经费(万元)</t>
  </si>
  <si>
    <t> </t>
  </si>
  <si>
    <r>
      <t>湖南省长沙市雨花区井湾路</t>
    </r>
    <r>
      <rPr>
        <sz val="9"/>
        <color rgb="FF000000"/>
        <rFont val="Times New Roman"/>
        <family val="1"/>
      </rPr>
      <t>4</t>
    </r>
    <r>
      <rPr>
        <sz val="9"/>
        <color rgb="FF000000"/>
        <rFont val="宋体"/>
        <family val="3"/>
        <charset val="134"/>
      </rPr>
      <t>号</t>
    </r>
    <r>
      <rPr>
        <sz val="9"/>
        <color rgb="FF000000"/>
        <rFont val="Times New Roman"/>
        <family val="1"/>
      </rPr>
      <t>2</t>
    </r>
    <r>
      <rPr>
        <sz val="9"/>
        <color rgb="FF000000"/>
        <rFont val="宋体"/>
        <family val="3"/>
        <charset val="134"/>
      </rPr>
      <t>栋</t>
    </r>
    <r>
      <rPr>
        <sz val="9"/>
        <color rgb="FF000000"/>
        <rFont val="Times New Roman"/>
        <family val="1"/>
      </rPr>
      <t>406</t>
    </r>
    <r>
      <rPr>
        <sz val="9"/>
        <color rgb="FF000000"/>
        <rFont val="宋体"/>
        <family val="3"/>
        <charset val="134"/>
      </rPr>
      <t>房</t>
    </r>
    <phoneticPr fontId="6" type="noConversion"/>
  </si>
  <si>
    <t>建设规模</t>
    <rPh sb="0" eb="4">
      <t>shun'xuyushang'shuchan'pnming'chencheng'hudui'ying</t>
    </rPh>
    <phoneticPr fontId="23" type="noConversion"/>
  </si>
  <si>
    <t>产品名称</t>
    <phoneticPr fontId="6" type="noConversion"/>
  </si>
  <si>
    <t>环境要素</t>
  </si>
  <si>
    <t>环境敏感点</t>
  </si>
  <si>
    <t>方位</t>
  </si>
  <si>
    <r>
      <t>距离（</t>
    </r>
    <r>
      <rPr>
        <b/>
        <sz val="10.5"/>
        <color theme="1"/>
        <rFont val="Times New Roman"/>
        <family val="1"/>
      </rPr>
      <t>m</t>
    </r>
    <r>
      <rPr>
        <b/>
        <sz val="10.5"/>
        <color theme="1"/>
        <rFont val="宋体"/>
        <family val="3"/>
        <charset val="134"/>
      </rPr>
      <t>）</t>
    </r>
  </si>
  <si>
    <t>环境保护目标</t>
  </si>
  <si>
    <t>水环境</t>
  </si>
  <si>
    <t>---</t>
  </si>
  <si>
    <t>大气环境</t>
  </si>
  <si>
    <t>----</t>
  </si>
  <si>
    <t>声环境</t>
  </si>
  <si>
    <r>
      <t>环境空气二级标准，声环境</t>
    </r>
    <r>
      <rPr>
        <sz val="10.5"/>
        <color theme="1"/>
        <rFont val="Times New Roman"/>
        <family val="1"/>
      </rPr>
      <t>2</t>
    </r>
    <r>
      <rPr>
        <sz val="10.5"/>
        <color theme="1"/>
        <rFont val="宋体"/>
        <family val="3"/>
        <charset val="134"/>
      </rPr>
      <t>类标准</t>
    </r>
  </si>
  <si>
    <t>生态环境</t>
  </si>
  <si>
    <t>非生态控制区</t>
  </si>
  <si>
    <r>
      <t>《环境空气质量标准》（</t>
    </r>
    <r>
      <rPr>
        <sz val="10.5"/>
        <color theme="1"/>
        <rFont val="Times New Roman"/>
        <family val="1"/>
      </rPr>
      <t>GB3095-2012</t>
    </r>
    <r>
      <rPr>
        <sz val="10.5"/>
        <color theme="1"/>
        <rFont val="宋体"/>
        <family val="3"/>
        <charset val="134"/>
      </rPr>
      <t>）二级标准；</t>
    </r>
    <phoneticPr fontId="6" type="noConversion"/>
  </si>
  <si>
    <t>敏感点距离</t>
    <phoneticPr fontId="7" type="noConversion"/>
  </si>
  <si>
    <t>水源保护区距离</t>
    <phoneticPr fontId="7" type="noConversion"/>
  </si>
  <si>
    <t>项目规模</t>
    <phoneticPr fontId="7" type="noConversion"/>
  </si>
  <si>
    <t>统一社会信用代码</t>
    <phoneticPr fontId="7" type="noConversion"/>
  </si>
  <si>
    <t>环评单位证书编号</t>
    <phoneticPr fontId="7" type="noConversion"/>
  </si>
  <si>
    <t>环评单位联系电话</t>
    <phoneticPr fontId="7" type="noConversion"/>
  </si>
  <si>
    <t>环评单位联系地址</t>
    <phoneticPr fontId="7" type="noConversion"/>
  </si>
  <si>
    <t>国民经济行业类别及代码</t>
    <phoneticPr fontId="23" type="noConversion"/>
  </si>
  <si>
    <t>环境影响评价行业类别</t>
    <phoneticPr fontId="7" type="noConversion"/>
  </si>
  <si>
    <t>营业执照经营范围</t>
    <phoneticPr fontId="7" type="noConversion"/>
  </si>
  <si>
    <t>陈村</t>
    <phoneticPr fontId="6" type="noConversion"/>
  </si>
  <si>
    <t>陈村，素有“中国花卉第一镇”、“千年花乡”的美誉，自古就是商贾云集之地，历史上曾与广州、佛山、东莞石龙镇合称“广东四大名镇”，是《三字经》作者区适子、清代作家黎简和现代雕塑艺术家梁明诚的故乡。陈村区域面积50.7平方公里，常住人口15.4万人，户籍人口7.9万人，下辖7个村委会和8个居委会。2014年实现本地生产总值140.1亿元；工业总产值346.5亿元；全社会固定资产投资50.3亿元；公共财政收入6.7亿元；税收收入20.6亿元；全镇居民储蓄余额139.4亿元。近年来，获得“世界盆景赏石园艺博览之都”、“中国花木之乡”、“中国机械装备工贸名镇”、“中国花卉之都”、“中华花卉美食名镇”、“国家级生态乡镇”等荣耀称号。随着珠三角一体化、广佛同城化步伐的不断加快，陈村正朝着打造生态优美、群众满意的广佛都市圈城央花园的目标稳步迈进。</t>
    <phoneticPr fontId="6" type="noConversion"/>
  </si>
  <si>
    <r>
      <t>陈村镇大气污染物SO</t>
    </r>
    <r>
      <rPr>
        <vertAlign val="subscript"/>
        <sz val="11"/>
        <color theme="1"/>
        <rFont val="宋体"/>
        <family val="3"/>
        <charset val="134"/>
      </rPr>
      <t>2</t>
    </r>
    <r>
      <rPr>
        <sz val="11"/>
        <color theme="1"/>
        <rFont val="宋体"/>
        <family val="3"/>
        <charset val="134"/>
      </rPr>
      <t>的24小时平均值、SO</t>
    </r>
    <r>
      <rPr>
        <vertAlign val="subscript"/>
        <sz val="11"/>
        <color theme="1"/>
        <rFont val="宋体"/>
        <family val="3"/>
        <charset val="134"/>
      </rPr>
      <t>2</t>
    </r>
    <r>
      <rPr>
        <sz val="11"/>
        <color theme="1"/>
        <rFont val="宋体"/>
        <family val="3"/>
        <charset val="134"/>
      </rPr>
      <t>和PM</t>
    </r>
    <r>
      <rPr>
        <vertAlign val="subscript"/>
        <sz val="11"/>
        <color theme="1"/>
        <rFont val="宋体"/>
        <family val="3"/>
        <charset val="134"/>
      </rPr>
      <t>10</t>
    </r>
    <r>
      <rPr>
        <sz val="11"/>
        <color theme="1"/>
        <rFont val="宋体"/>
        <family val="3"/>
        <charset val="134"/>
      </rPr>
      <t>的年平均值达到《环境空气质量标准》（GB3095-2012）的二级标准， NO</t>
    </r>
    <r>
      <rPr>
        <vertAlign val="subscript"/>
        <sz val="11"/>
        <color theme="1"/>
        <rFont val="宋体"/>
        <family val="3"/>
        <charset val="134"/>
      </rPr>
      <t>2</t>
    </r>
    <r>
      <rPr>
        <sz val="11"/>
        <color theme="1"/>
        <rFont val="宋体"/>
        <family val="3"/>
        <charset val="134"/>
      </rPr>
      <t>、PM</t>
    </r>
    <r>
      <rPr>
        <vertAlign val="subscript"/>
        <sz val="11"/>
        <color theme="1"/>
        <rFont val="宋体"/>
        <family val="3"/>
        <charset val="134"/>
      </rPr>
      <t>10</t>
    </r>
    <r>
      <rPr>
        <sz val="11"/>
        <color theme="1"/>
        <rFont val="宋体"/>
        <family val="3"/>
        <charset val="134"/>
      </rPr>
      <t>、PM</t>
    </r>
    <r>
      <rPr>
        <vertAlign val="subscript"/>
        <sz val="11"/>
        <color theme="1"/>
        <rFont val="宋体"/>
        <family val="3"/>
        <charset val="134"/>
      </rPr>
      <t>2.5</t>
    </r>
    <r>
      <rPr>
        <sz val="11"/>
        <color theme="1"/>
        <rFont val="宋体"/>
        <family val="3"/>
        <charset val="134"/>
      </rPr>
      <t>的24小时平均值和NO</t>
    </r>
    <r>
      <rPr>
        <vertAlign val="subscript"/>
        <sz val="11"/>
        <color theme="1"/>
        <rFont val="宋体"/>
        <family val="3"/>
        <charset val="134"/>
      </rPr>
      <t>2</t>
    </r>
    <r>
      <rPr>
        <sz val="11"/>
        <color theme="1"/>
        <rFont val="宋体"/>
        <family val="3"/>
        <charset val="134"/>
      </rPr>
      <t>、PM</t>
    </r>
    <r>
      <rPr>
        <vertAlign val="subscript"/>
        <sz val="11"/>
        <color theme="1"/>
        <rFont val="宋体"/>
        <family val="3"/>
        <charset val="134"/>
      </rPr>
      <t>2.5</t>
    </r>
    <r>
      <rPr>
        <sz val="11"/>
        <color theme="1"/>
        <rFont val="宋体"/>
        <family val="3"/>
        <charset val="134"/>
      </rPr>
      <t>年平均值有不同程度的超标。污染稍重的NO</t>
    </r>
    <r>
      <rPr>
        <vertAlign val="subscript"/>
        <sz val="11"/>
        <color theme="1"/>
        <rFont val="宋体"/>
        <family val="3"/>
        <charset val="134"/>
      </rPr>
      <t>2</t>
    </r>
    <r>
      <rPr>
        <sz val="11"/>
        <color theme="1"/>
        <rFont val="宋体"/>
        <family val="3"/>
        <charset val="134"/>
      </rPr>
      <t>中24小时平均浓度达标率86.6%，年平均值超标0.23倍。</t>
    </r>
  </si>
  <si>
    <t>原辅材料关键词</t>
  </si>
  <si>
    <t>设备关键词</t>
  </si>
  <si>
    <t>废气污染源名称</t>
  </si>
  <si>
    <t>地区</t>
  </si>
  <si>
    <t>排放标准</t>
    <phoneticPr fontId="6" type="noConversion"/>
  </si>
  <si>
    <t>产污系数</t>
  </si>
  <si>
    <r>
      <t>处理措施(0</t>
    </r>
    <r>
      <rPr>
        <sz val="10.5"/>
        <color theme="1"/>
        <rFont val="宋体"/>
        <family val="3"/>
        <charset val="134"/>
      </rPr>
      <t>不用处理）</t>
    </r>
  </si>
  <si>
    <r>
      <t>收集效率（0</t>
    </r>
    <r>
      <rPr>
        <sz val="10.5"/>
        <color theme="1"/>
        <rFont val="宋体"/>
        <family val="3"/>
        <charset val="134"/>
      </rPr>
      <t>代表无组织排放）</t>
    </r>
  </si>
  <si>
    <t>处理效率</t>
  </si>
  <si>
    <t>污染源描述</t>
  </si>
  <si>
    <t>污染源影响分析描述</t>
  </si>
  <si>
    <t>防治措施</t>
  </si>
  <si>
    <t>焊</t>
  </si>
  <si>
    <t>焊接烟尘</t>
  </si>
  <si>
    <r>
      <t>焊接颗粒物排放执行《大气污染物排放限值》（DB44/27-2001</t>
    </r>
    <r>
      <rPr>
        <sz val="10.5"/>
        <rFont val="宋体"/>
        <family val="3"/>
        <charset val="134"/>
      </rPr>
      <t>）中第二时段无组织排放监控浓度限值，即</t>
    </r>
    <r>
      <rPr>
        <sz val="10.5"/>
        <rFont val="Times New Roman"/>
        <family val="1"/>
      </rPr>
      <t>1mg/m</t>
    </r>
    <r>
      <rPr>
        <vertAlign val="superscript"/>
        <sz val="10.5"/>
        <rFont val="Times New Roman"/>
        <family val="1"/>
      </rPr>
      <t>3</t>
    </r>
    <r>
      <rPr>
        <sz val="10.5"/>
        <rFont val="宋体"/>
        <family val="3"/>
        <charset val="134"/>
      </rPr>
      <t>。</t>
    </r>
  </si>
  <si>
    <r>
      <t>焊条：</t>
    </r>
    <r>
      <rPr>
        <sz val="10.5"/>
        <rFont val="Times New Roman"/>
        <family val="1"/>
      </rPr>
      <t xml:space="preserve">2~5g/kg
</t>
    </r>
    <r>
      <rPr>
        <sz val="10.5"/>
        <rFont val="宋体"/>
        <family val="3"/>
        <charset val="134"/>
      </rPr>
      <t>焊丝：</t>
    </r>
    <r>
      <rPr>
        <sz val="10.5"/>
        <rFont val="Times New Roman"/>
        <family val="1"/>
      </rPr>
      <t>7kg/t</t>
    </r>
  </si>
  <si>
    <r>
      <t>焊接过程中会产生少量的焊接烟尘，焊接烟尘主要成分为</t>
    </r>
    <r>
      <rPr>
        <sz val="10.5"/>
        <rFont val="Times New Roman"/>
        <family val="1"/>
      </rPr>
      <t>Fe</t>
    </r>
    <r>
      <rPr>
        <vertAlign val="subscript"/>
        <sz val="10.5"/>
        <rFont val="Times New Roman"/>
        <family val="1"/>
      </rPr>
      <t>2</t>
    </r>
    <r>
      <rPr>
        <sz val="10.5"/>
        <rFont val="Times New Roman"/>
        <family val="1"/>
      </rPr>
      <t>O</t>
    </r>
    <r>
      <rPr>
        <vertAlign val="subscript"/>
        <sz val="10.5"/>
        <rFont val="Times New Roman"/>
        <family val="1"/>
      </rPr>
      <t>3</t>
    </r>
    <r>
      <rPr>
        <sz val="10.5"/>
        <rFont val="宋体"/>
        <family val="3"/>
        <charset val="134"/>
      </rPr>
      <t>、锰及其化合物等。项目使用二氧化碳焊机进行焊接，每天有效焊接时间为</t>
    </r>
    <r>
      <rPr>
        <sz val="10.5"/>
        <color rgb="FFFF0000"/>
        <rFont val="Times New Roman"/>
        <family val="1"/>
      </rPr>
      <t>5</t>
    </r>
    <r>
      <rPr>
        <sz val="10.5"/>
        <rFont val="宋体"/>
        <family val="3"/>
        <charset val="134"/>
      </rPr>
      <t>小时，年使用焊丝</t>
    </r>
    <r>
      <rPr>
        <sz val="10.5"/>
        <color rgb="FFFF0000"/>
        <rFont val="Times New Roman"/>
        <family val="1"/>
      </rPr>
      <t>0.1t</t>
    </r>
    <r>
      <rPr>
        <sz val="10.5"/>
        <rFont val="宋体"/>
        <family val="3"/>
        <charset val="134"/>
      </rPr>
      <t>，焊丝焊接烟尘产生系数为</t>
    </r>
    <r>
      <rPr>
        <sz val="10.5"/>
        <color rgb="FFFF0000"/>
        <rFont val="Times New Roman"/>
        <family val="1"/>
      </rPr>
      <t>7kg/t</t>
    </r>
    <r>
      <rPr>
        <sz val="10.5"/>
        <rFont val="宋体"/>
        <family val="3"/>
        <charset val="134"/>
      </rPr>
      <t>，则项目产生的焊接烟尘量为</t>
    </r>
    <r>
      <rPr>
        <sz val="10.5"/>
        <color rgb="FFFF0000"/>
        <rFont val="Times New Roman"/>
        <family val="1"/>
      </rPr>
      <t>0.7kg/a</t>
    </r>
    <r>
      <rPr>
        <sz val="10.5"/>
        <color rgb="FFFF0000"/>
        <rFont val="宋体"/>
        <family val="3"/>
        <charset val="134"/>
      </rPr>
      <t>（</t>
    </r>
    <r>
      <rPr>
        <sz val="10.5"/>
        <color rgb="FFFF0000"/>
        <rFont val="Times New Roman"/>
        <family val="1"/>
      </rPr>
      <t>0.0005kg/h</t>
    </r>
    <r>
      <rPr>
        <sz val="10.5"/>
        <color rgb="FFFF0000"/>
        <rFont val="宋体"/>
        <family val="3"/>
        <charset val="134"/>
      </rPr>
      <t>）</t>
    </r>
    <r>
      <rPr>
        <sz val="10.5"/>
        <rFont val="宋体"/>
        <family val="3"/>
        <charset val="134"/>
      </rPr>
      <t>。低于广东省地方标准《大气污染物排放限值》（</t>
    </r>
    <r>
      <rPr>
        <sz val="10.5"/>
        <rFont val="Times New Roman"/>
        <family val="1"/>
      </rPr>
      <t>DB44/27-2001</t>
    </r>
    <r>
      <rPr>
        <sz val="10.5"/>
        <rFont val="宋体"/>
        <family val="3"/>
        <charset val="134"/>
      </rPr>
      <t>）第二时段标准限值，周界外浓度最高点</t>
    </r>
    <r>
      <rPr>
        <sz val="10.5"/>
        <rFont val="Times New Roman"/>
        <family val="1"/>
      </rPr>
      <t>≤1.0mg/m</t>
    </r>
    <r>
      <rPr>
        <vertAlign val="superscript"/>
        <sz val="10.5"/>
        <rFont val="Times New Roman"/>
        <family val="1"/>
      </rPr>
      <t>3</t>
    </r>
    <r>
      <rPr>
        <sz val="10.5"/>
        <rFont val="宋体"/>
        <family val="3"/>
        <charset val="134"/>
      </rPr>
      <t>。</t>
    </r>
  </si>
  <si>
    <r>
      <t>项目采用</t>
    </r>
    <r>
      <rPr>
        <sz val="10.5"/>
        <color rgb="FFFF0000"/>
        <rFont val="宋体"/>
        <family val="3"/>
        <charset val="134"/>
      </rPr>
      <t>氩弧焊</t>
    </r>
    <r>
      <rPr>
        <sz val="10.5"/>
        <rFont val="宋体"/>
        <family val="3"/>
        <charset val="134"/>
      </rPr>
      <t>对钢管进行焊接。焊接时产生的烟尘包括一系列气体和以气溶胶态形式存在的金属微细颗粒、金属氧化物以及其它化学物质：它们来自母材、焊接材料或焊接冶金反应的生成物。焊接烟气中的烟尘是一种十分复杂的物质，已在烟尘中发现的元素多达</t>
    </r>
    <r>
      <rPr>
        <sz val="10.5"/>
        <rFont val="Times New Roman"/>
        <family val="1"/>
      </rPr>
      <t>20</t>
    </r>
    <r>
      <rPr>
        <sz val="10.5"/>
        <rFont val="宋体"/>
        <family val="3"/>
        <charset val="134"/>
      </rPr>
      <t>种以上，其中含量最多的是</t>
    </r>
    <r>
      <rPr>
        <sz val="10.5"/>
        <rFont val="Times New Roman"/>
        <family val="1"/>
      </rPr>
      <t>Fe</t>
    </r>
    <r>
      <rPr>
        <sz val="10.5"/>
        <rFont val="宋体"/>
        <family val="3"/>
        <charset val="134"/>
      </rPr>
      <t>、</t>
    </r>
    <r>
      <rPr>
        <sz val="10.5"/>
        <rFont val="Times New Roman"/>
        <family val="1"/>
      </rPr>
      <t>Ca</t>
    </r>
    <r>
      <rPr>
        <sz val="10.5"/>
        <rFont val="宋体"/>
        <family val="3"/>
        <charset val="134"/>
      </rPr>
      <t>、</t>
    </r>
    <r>
      <rPr>
        <sz val="10.5"/>
        <rFont val="Times New Roman"/>
        <family val="1"/>
      </rPr>
      <t>Na</t>
    </r>
    <r>
      <rPr>
        <sz val="10.5"/>
        <rFont val="宋体"/>
        <family val="3"/>
        <charset val="134"/>
      </rPr>
      <t>等，其次是</t>
    </r>
    <r>
      <rPr>
        <sz val="10.5"/>
        <rFont val="Times New Roman"/>
        <family val="1"/>
      </rPr>
      <t>Si</t>
    </r>
    <r>
      <rPr>
        <sz val="10.5"/>
        <rFont val="宋体"/>
        <family val="3"/>
        <charset val="134"/>
      </rPr>
      <t>、</t>
    </r>
    <r>
      <rPr>
        <sz val="10.5"/>
        <rFont val="Times New Roman"/>
        <family val="1"/>
      </rPr>
      <t>Al</t>
    </r>
    <r>
      <rPr>
        <sz val="10.5"/>
        <rFont val="宋体"/>
        <family val="3"/>
        <charset val="134"/>
      </rPr>
      <t>、</t>
    </r>
    <r>
      <rPr>
        <sz val="10.5"/>
        <rFont val="Times New Roman"/>
        <family val="1"/>
      </rPr>
      <t>Mn</t>
    </r>
    <r>
      <rPr>
        <sz val="10.5"/>
        <rFont val="宋体"/>
        <family val="3"/>
        <charset val="134"/>
      </rPr>
      <t>、</t>
    </r>
    <r>
      <rPr>
        <sz val="10.5"/>
        <rFont val="Times New Roman"/>
        <family val="1"/>
      </rPr>
      <t>Ti</t>
    </r>
    <r>
      <rPr>
        <sz val="10.5"/>
        <rFont val="宋体"/>
        <family val="3"/>
        <charset val="134"/>
      </rPr>
      <t>、</t>
    </r>
    <r>
      <rPr>
        <sz val="10.5"/>
        <rFont val="Times New Roman"/>
        <family val="1"/>
      </rPr>
      <t>Cu</t>
    </r>
    <r>
      <rPr>
        <sz val="10.5"/>
        <rFont val="宋体"/>
        <family val="3"/>
        <charset val="134"/>
      </rPr>
      <t>等。焊接烟尘排放特点为无组织，根据估算模式核算，项目焊接烟尘的厂界排放浓度为</t>
    </r>
    <r>
      <rPr>
        <sz val="10.5"/>
        <color rgb="FFFF0000"/>
        <rFont val="Times New Roman"/>
        <family val="1"/>
      </rPr>
      <t>0.005mg/m</t>
    </r>
    <r>
      <rPr>
        <vertAlign val="superscript"/>
        <sz val="10.5"/>
        <color rgb="FFFF0000"/>
        <rFont val="Times New Roman"/>
        <family val="1"/>
      </rPr>
      <t>3</t>
    </r>
    <r>
      <rPr>
        <sz val="10.5"/>
        <rFont val="Times New Roman"/>
        <family val="1"/>
      </rPr>
      <t>,</t>
    </r>
    <r>
      <rPr>
        <sz val="10.5"/>
        <rFont val="宋体"/>
        <family val="3"/>
        <charset val="134"/>
      </rPr>
      <t>焊接烟尘能满足《大气污染物排放限值》（</t>
    </r>
    <r>
      <rPr>
        <sz val="10.5"/>
        <rFont val="Times New Roman"/>
        <family val="1"/>
      </rPr>
      <t>DB44/27-2001</t>
    </r>
    <r>
      <rPr>
        <sz val="10.5"/>
        <rFont val="宋体"/>
        <family val="3"/>
        <charset val="134"/>
      </rPr>
      <t>）中第二时段无组织排放监控浓度限值，建议加强车间通风，则焊接烟尘对环境影响不大。</t>
    </r>
  </si>
  <si>
    <t>加强通风</t>
  </si>
  <si>
    <t>锡</t>
  </si>
  <si>
    <t>焊锡废气</t>
  </si>
  <si>
    <r>
      <t>焊锡颗粒物排放执行广东省《大气污染物排放限值》（</t>
    </r>
    <r>
      <rPr>
        <sz val="10.5"/>
        <color theme="1"/>
        <rFont val="Times New Roman"/>
        <family val="1"/>
      </rPr>
      <t>DB44-27-2001</t>
    </r>
    <r>
      <rPr>
        <sz val="10.5"/>
        <color theme="1"/>
        <rFont val="宋体"/>
        <family val="3"/>
        <charset val="134"/>
      </rPr>
      <t>）第Ⅱ时段标准：锡及其化合物最高允许排放浓度</t>
    </r>
    <r>
      <rPr>
        <sz val="10.5"/>
        <color theme="1"/>
        <rFont val="Times New Roman"/>
        <family val="1"/>
      </rPr>
      <t>8.5mg/m</t>
    </r>
    <r>
      <rPr>
        <vertAlign val="superscript"/>
        <sz val="10.5"/>
        <color theme="1"/>
        <rFont val="Times New Roman"/>
        <family val="1"/>
      </rPr>
      <t>3</t>
    </r>
    <r>
      <rPr>
        <sz val="10.5"/>
        <color theme="1"/>
        <rFont val="宋体"/>
        <family val="3"/>
        <charset val="134"/>
      </rPr>
      <t>；</t>
    </r>
    <r>
      <rPr>
        <sz val="10.5"/>
        <color theme="1"/>
        <rFont val="Times New Roman"/>
        <family val="1"/>
      </rPr>
      <t>15m</t>
    </r>
    <r>
      <rPr>
        <sz val="10.5"/>
        <color theme="1"/>
        <rFont val="宋体"/>
        <family val="3"/>
        <charset val="134"/>
      </rPr>
      <t>高排气筒最高允许排放速率</t>
    </r>
    <r>
      <rPr>
        <sz val="10.5"/>
        <color theme="1"/>
        <rFont val="Times New Roman"/>
        <family val="1"/>
      </rPr>
      <t>0.25kg/h</t>
    </r>
    <r>
      <rPr>
        <sz val="10.5"/>
        <color theme="1"/>
        <rFont val="宋体"/>
        <family val="3"/>
        <charset val="134"/>
      </rPr>
      <t>；无组织排放监控浓度限值</t>
    </r>
    <r>
      <rPr>
        <sz val="10.5"/>
        <color theme="1"/>
        <rFont val="Times New Roman"/>
        <family val="1"/>
      </rPr>
      <t>0.24mg/m</t>
    </r>
    <r>
      <rPr>
        <vertAlign val="superscript"/>
        <sz val="10.5"/>
        <color theme="1"/>
        <rFont val="Times New Roman"/>
        <family val="1"/>
      </rPr>
      <t>3</t>
    </r>
    <r>
      <rPr>
        <sz val="10.5"/>
        <color theme="1"/>
        <rFont val="宋体"/>
        <family val="3"/>
        <charset val="134"/>
      </rPr>
      <t>。</t>
    </r>
  </si>
  <si>
    <r>
      <t>锡炉、波峰焊：集气罩收集后经15m</t>
    </r>
    <r>
      <rPr>
        <sz val="10.5"/>
        <color theme="1"/>
        <rFont val="宋体"/>
        <family val="3"/>
        <charset val="134"/>
      </rPr>
      <t>排气筒高空排放</t>
    </r>
  </si>
  <si>
    <r>
      <t>项目在焊接过程中会产生一定的焊锡废气，主要污染物为锡及其化合物。类比同类型企业，锡条焊锡过程锡及其化合物产生量占锡条用量的</t>
    </r>
    <r>
      <rPr>
        <sz val="10.5"/>
        <color theme="1"/>
        <rFont val="Times New Roman"/>
        <family val="1"/>
      </rPr>
      <t>1%</t>
    </r>
    <r>
      <rPr>
        <sz val="10.5"/>
        <color theme="1"/>
        <rFont val="宋体"/>
        <family val="3"/>
        <charset val="134"/>
      </rPr>
      <t>。根据项目提供资料，项目无铅锡条年用量为</t>
    </r>
    <r>
      <rPr>
        <sz val="10.5"/>
        <color rgb="FFFF0000"/>
        <rFont val="Times New Roman"/>
        <family val="1"/>
      </rPr>
      <t>1.5t/a</t>
    </r>
    <r>
      <rPr>
        <sz val="10.5"/>
        <color theme="1"/>
        <rFont val="宋体"/>
        <family val="3"/>
        <charset val="134"/>
      </rPr>
      <t>。项目年工作天数</t>
    </r>
    <r>
      <rPr>
        <sz val="10.5"/>
        <color theme="1"/>
        <rFont val="Times New Roman"/>
        <family val="1"/>
      </rPr>
      <t>300</t>
    </r>
    <r>
      <rPr>
        <sz val="10.5"/>
        <color theme="1"/>
        <rFont val="宋体"/>
        <family val="3"/>
        <charset val="134"/>
      </rPr>
      <t>天，每天有效焊锡时间为</t>
    </r>
    <r>
      <rPr>
        <sz val="10.5"/>
        <color theme="1"/>
        <rFont val="Times New Roman"/>
        <family val="1"/>
      </rPr>
      <t>8</t>
    </r>
    <r>
      <rPr>
        <sz val="10.5"/>
        <color theme="1"/>
        <rFont val="宋体"/>
        <family val="3"/>
        <charset val="134"/>
      </rPr>
      <t>小时，则锡及其化合物产生量为</t>
    </r>
    <r>
      <rPr>
        <sz val="10.5"/>
        <color rgb="FFFF0000"/>
        <rFont val="Times New Roman"/>
        <family val="1"/>
      </rPr>
      <t>0.015t/a</t>
    </r>
    <r>
      <rPr>
        <sz val="10.5"/>
        <color rgb="FFFF0000"/>
        <rFont val="宋体"/>
        <family val="3"/>
        <charset val="134"/>
      </rPr>
      <t>（</t>
    </r>
    <r>
      <rPr>
        <sz val="10.5"/>
        <color rgb="FFFF0000"/>
        <rFont val="Times New Roman"/>
        <family val="1"/>
      </rPr>
      <t>0.0063kg/h</t>
    </r>
    <r>
      <rPr>
        <sz val="10.5"/>
        <color rgb="FFFF0000"/>
        <rFont val="宋体"/>
        <family val="3"/>
        <charset val="134"/>
      </rPr>
      <t>）</t>
    </r>
    <r>
      <rPr>
        <sz val="10.5"/>
        <color theme="1"/>
        <rFont val="宋体"/>
        <family val="3"/>
        <charset val="134"/>
      </rPr>
      <t>。</t>
    </r>
  </si>
  <si>
    <r>
      <t>项目焊锡时会产生焊锡废气，主要污染物为锡及其化合物。根据工艺分析可知，焊锡过程中锡及其化合物产生量为</t>
    </r>
    <r>
      <rPr>
        <sz val="10.5"/>
        <color rgb="FFFF0000"/>
        <rFont val="Times New Roman"/>
        <family val="1"/>
      </rPr>
      <t>0.015t/a</t>
    </r>
    <r>
      <rPr>
        <sz val="10.5"/>
        <color rgb="FFFF0000"/>
        <rFont val="宋体"/>
        <family val="3"/>
        <charset val="134"/>
      </rPr>
      <t>（</t>
    </r>
    <r>
      <rPr>
        <sz val="10.5"/>
        <color rgb="FFFF0000"/>
        <rFont val="Times New Roman"/>
        <family val="1"/>
      </rPr>
      <t>0.0063kg/h</t>
    </r>
    <r>
      <rPr>
        <sz val="10.5"/>
        <color rgb="FFFF0000"/>
        <rFont val="宋体"/>
        <family val="3"/>
        <charset val="134"/>
      </rPr>
      <t>）</t>
    </r>
    <r>
      <rPr>
        <sz val="10.5"/>
        <color theme="1"/>
        <rFont val="宋体"/>
        <family val="3"/>
        <charset val="134"/>
      </rPr>
      <t>。</t>
    </r>
    <r>
      <rPr>
        <sz val="10.5"/>
        <color theme="1"/>
        <rFont val="Times New Roman"/>
        <family val="1"/>
      </rPr>
      <t xml:space="preserve">
</t>
    </r>
    <r>
      <rPr>
        <sz val="10.5"/>
        <color theme="1"/>
        <rFont val="宋体"/>
        <family val="3"/>
        <charset val="134"/>
      </rPr>
      <t>环评要求项目在焊锡工序设置集气、排气系统，集气后经排气筒高空排放，排气筒高度为</t>
    </r>
    <r>
      <rPr>
        <sz val="10.5"/>
        <color theme="1"/>
        <rFont val="Times New Roman"/>
        <family val="1"/>
      </rPr>
      <t>15m</t>
    </r>
    <r>
      <rPr>
        <sz val="10.5"/>
        <color theme="1"/>
        <rFont val="宋体"/>
        <family val="3"/>
        <charset val="134"/>
      </rPr>
      <t>，且应高出周围</t>
    </r>
    <r>
      <rPr>
        <sz val="10.5"/>
        <color theme="1"/>
        <rFont val="Times New Roman"/>
        <family val="1"/>
      </rPr>
      <t>200m</t>
    </r>
    <r>
      <rPr>
        <sz val="10.5"/>
        <color theme="1"/>
        <rFont val="宋体"/>
        <family val="3"/>
        <charset val="134"/>
      </rPr>
      <t>半径范围的最高建筑</t>
    </r>
    <r>
      <rPr>
        <sz val="10.5"/>
        <color theme="1"/>
        <rFont val="Times New Roman"/>
        <family val="1"/>
      </rPr>
      <t>5m</t>
    </r>
    <r>
      <rPr>
        <sz val="10.5"/>
        <color theme="1"/>
        <rFont val="宋体"/>
        <family val="3"/>
        <charset val="134"/>
      </rPr>
      <t>以上。排气风量按</t>
    </r>
    <r>
      <rPr>
        <sz val="10.5"/>
        <color rgb="FFFF0000"/>
        <rFont val="Times New Roman"/>
        <family val="1"/>
      </rPr>
      <t>5000m</t>
    </r>
    <r>
      <rPr>
        <vertAlign val="superscript"/>
        <sz val="10.5"/>
        <color rgb="FFFF0000"/>
        <rFont val="Times New Roman"/>
        <family val="1"/>
      </rPr>
      <t>3</t>
    </r>
    <r>
      <rPr>
        <sz val="10.5"/>
        <color rgb="FFFF0000"/>
        <rFont val="Times New Roman"/>
        <family val="1"/>
      </rPr>
      <t>/h</t>
    </r>
    <r>
      <rPr>
        <sz val="10.5"/>
        <color theme="1"/>
        <rFont val="宋体"/>
        <family val="3"/>
        <charset val="134"/>
      </rPr>
      <t>计，集气罩收集效率</t>
    </r>
    <r>
      <rPr>
        <sz val="10.5"/>
        <color theme="1"/>
        <rFont val="Times New Roman"/>
        <family val="1"/>
      </rPr>
      <t>90%</t>
    </r>
    <r>
      <rPr>
        <sz val="10.5"/>
        <color theme="1"/>
        <rFont val="宋体"/>
        <family val="3"/>
        <charset val="134"/>
      </rPr>
      <t>，其余</t>
    </r>
    <r>
      <rPr>
        <sz val="10.5"/>
        <color theme="1"/>
        <rFont val="Times New Roman"/>
        <family val="1"/>
      </rPr>
      <t>10%</t>
    </r>
    <r>
      <rPr>
        <sz val="10.5"/>
        <color theme="1"/>
        <rFont val="宋体"/>
        <family val="3"/>
        <charset val="134"/>
      </rPr>
      <t>为无组织排放。则污染物有组织及无组织排放情况见下表：焊锡废气排放可达《广东省大气污染物排放限值》（</t>
    </r>
    <r>
      <rPr>
        <sz val="10.5"/>
        <color theme="1"/>
        <rFont val="Times New Roman"/>
        <family val="1"/>
      </rPr>
      <t>DB44-27-2001</t>
    </r>
    <r>
      <rPr>
        <sz val="10.5"/>
        <color theme="1"/>
        <rFont val="宋体"/>
        <family val="3"/>
        <charset val="134"/>
      </rPr>
      <t>）第Ⅱ时段标准：锡及其化合物最高允许排放浓度</t>
    </r>
    <r>
      <rPr>
        <sz val="10.5"/>
        <color theme="1"/>
        <rFont val="Times New Roman"/>
        <family val="1"/>
      </rPr>
      <t>8.5mg/m</t>
    </r>
    <r>
      <rPr>
        <vertAlign val="superscript"/>
        <sz val="10.5"/>
        <color theme="1"/>
        <rFont val="Times New Roman"/>
        <family val="1"/>
      </rPr>
      <t>3</t>
    </r>
    <r>
      <rPr>
        <sz val="10.5"/>
        <color theme="1"/>
        <rFont val="宋体"/>
        <family val="3"/>
        <charset val="134"/>
      </rPr>
      <t>、无组织排放监控浓度限值</t>
    </r>
    <r>
      <rPr>
        <sz val="10.5"/>
        <color theme="1"/>
        <rFont val="Times New Roman"/>
        <family val="1"/>
      </rPr>
      <t>0.24mg/m</t>
    </r>
    <r>
      <rPr>
        <vertAlign val="superscript"/>
        <sz val="10.5"/>
        <color theme="1"/>
        <rFont val="Times New Roman"/>
        <family val="1"/>
      </rPr>
      <t>3</t>
    </r>
    <r>
      <rPr>
        <sz val="10.5"/>
        <color theme="1"/>
        <rFont val="宋体"/>
        <family val="3"/>
        <charset val="134"/>
      </rPr>
      <t>。</t>
    </r>
  </si>
  <si>
    <r>
      <t>经集气罩收集后引至</t>
    </r>
    <r>
      <rPr>
        <sz val="10.5"/>
        <color theme="1"/>
        <rFont val="Times New Roman"/>
        <family val="1"/>
      </rPr>
      <t>15m</t>
    </r>
    <r>
      <rPr>
        <sz val="10.5"/>
        <color theme="1"/>
        <rFont val="宋体"/>
        <family val="3"/>
        <charset val="134"/>
      </rPr>
      <t>高排气筒排放</t>
    </r>
  </si>
  <si>
    <t>点焊、碰焊烟尘</t>
  </si>
  <si>
    <r>
      <t>颗粒物排放执行《大气污染物排放限值》（DB44/27-2001</t>
    </r>
    <r>
      <rPr>
        <sz val="10.5"/>
        <color theme="1"/>
        <rFont val="宋体"/>
        <family val="3"/>
        <charset val="134"/>
      </rPr>
      <t>）中第二时段无组织排放监控浓度限值，即</t>
    </r>
    <r>
      <rPr>
        <sz val="10.5"/>
        <color theme="1"/>
        <rFont val="Times New Roman"/>
        <family val="1"/>
      </rPr>
      <t>1mg/m</t>
    </r>
    <r>
      <rPr>
        <vertAlign val="superscript"/>
        <sz val="10.5"/>
        <color theme="1"/>
        <rFont val="Times New Roman"/>
        <family val="1"/>
      </rPr>
      <t>3</t>
    </r>
    <r>
      <rPr>
        <sz val="10.5"/>
        <color theme="1"/>
        <rFont val="宋体"/>
        <family val="3"/>
        <charset val="134"/>
      </rPr>
      <t>。</t>
    </r>
  </si>
  <si>
    <t>定性分析</t>
  </si>
  <si>
    <t>碰焊机，属于电阻焊一类，参考《不同焊接工艺的焊接烟尘污染特征》（太原市机械电子工业局，郭永葆），电阻焊施焊过程是电极对被焊接金属施压并通电，电流通过金属件紧贴的接触部位时，其电阻较大，发热并熔融接触点，在电极压力作用下，接触点处焊为一体。电阻焊无需焊材、焊剂。当被焊接材料焊接部位表面处理洁净时，基本没有焊接烟尘产生。</t>
  </si>
  <si>
    <t>布轮</t>
  </si>
  <si>
    <t>抛光</t>
  </si>
  <si>
    <r>
      <t>颗粒物执行广东省地方标准《大气污染物排放限值》（</t>
    </r>
    <r>
      <rPr>
        <sz val="10.5"/>
        <color theme="1"/>
        <rFont val="Times New Roman"/>
        <family val="1"/>
      </rPr>
      <t>DB44/27-2001</t>
    </r>
    <r>
      <rPr>
        <sz val="10.5"/>
        <color theme="1"/>
        <rFont val="宋体"/>
        <family val="3"/>
        <charset val="134"/>
      </rPr>
      <t>）第二时段标准：颗粒物无组织排放监控点浓度限值</t>
    </r>
    <r>
      <rPr>
        <sz val="10.5"/>
        <color theme="1"/>
        <rFont val="Times New Roman"/>
        <family val="1"/>
      </rPr>
      <t>1.0mg/m</t>
    </r>
    <r>
      <rPr>
        <vertAlign val="superscript"/>
        <sz val="10.5"/>
        <color theme="1"/>
        <rFont val="Times New Roman"/>
        <family val="1"/>
      </rPr>
      <t>3</t>
    </r>
    <r>
      <rPr>
        <sz val="10.5"/>
        <color theme="1"/>
        <rFont val="宋体"/>
        <family val="3"/>
        <charset val="134"/>
      </rPr>
      <t>；颗粒物最高允许排放浓度</t>
    </r>
    <r>
      <rPr>
        <sz val="10.5"/>
        <color theme="1"/>
        <rFont val="Times New Roman"/>
        <family val="1"/>
      </rPr>
      <t>120mg/m</t>
    </r>
    <r>
      <rPr>
        <vertAlign val="superscript"/>
        <sz val="10.5"/>
        <color theme="1"/>
        <rFont val="Times New Roman"/>
        <family val="1"/>
      </rPr>
      <t>3</t>
    </r>
    <r>
      <rPr>
        <sz val="10.5"/>
        <color theme="1"/>
        <rFont val="宋体"/>
        <family val="3"/>
        <charset val="134"/>
      </rPr>
      <t>。</t>
    </r>
  </si>
  <si>
    <t>水喷淋处理</t>
  </si>
  <si>
    <r>
      <t>项目需要对制成的</t>
    </r>
    <r>
      <rPr>
        <sz val="10.5"/>
        <color rgb="FFFF0000"/>
        <rFont val="宋体"/>
        <family val="3"/>
        <charset val="134"/>
      </rPr>
      <t>不锈钢管材</t>
    </r>
    <r>
      <rPr>
        <sz val="10.5"/>
        <color rgb="FF000000"/>
        <rFont val="宋体"/>
        <family val="3"/>
        <charset val="134"/>
      </rPr>
      <t>的表面进行抛光。</t>
    </r>
    <r>
      <rPr>
        <sz val="10.5"/>
        <color rgb="FFFF0000"/>
        <rFont val="宋体"/>
        <family val="3"/>
        <charset val="134"/>
      </rPr>
      <t>布轮抛光</t>
    </r>
    <r>
      <rPr>
        <sz val="10.5"/>
        <color rgb="FF000000"/>
        <rFont val="宋体"/>
        <family val="3"/>
        <charset val="134"/>
      </rPr>
      <t>原理是通过</t>
    </r>
    <r>
      <rPr>
        <sz val="10.5"/>
        <color rgb="FFFF0000"/>
        <rFont val="宋体"/>
        <family val="3"/>
        <charset val="134"/>
      </rPr>
      <t>布</t>
    </r>
    <r>
      <rPr>
        <sz val="10.5"/>
        <color rgb="FF000000"/>
        <rFont val="宋体"/>
        <family val="3"/>
        <charset val="134"/>
      </rPr>
      <t>和管材间的摩擦，使得管材表面光滑。</t>
    </r>
    <r>
      <rPr>
        <sz val="10.5"/>
        <color theme="1"/>
        <rFont val="宋体"/>
        <family val="3"/>
        <charset val="134"/>
      </rPr>
      <t>根据生产实践，抛光工序的粉尘产生量按</t>
    </r>
    <r>
      <rPr>
        <sz val="10.5"/>
        <color theme="1"/>
        <rFont val="Times New Roman"/>
        <family val="1"/>
      </rPr>
      <t>0.5‰</t>
    </r>
    <r>
      <rPr>
        <sz val="10.5"/>
        <color theme="1"/>
        <rFont val="宋体"/>
        <family val="3"/>
        <charset val="134"/>
      </rPr>
      <t>计算。抛光粉尘收集后经</t>
    </r>
    <r>
      <rPr>
        <sz val="10.5"/>
        <color rgb="FFFF0000"/>
        <rFont val="宋体"/>
        <family val="3"/>
        <charset val="134"/>
      </rPr>
      <t>水喷淋处理</t>
    </r>
    <r>
      <rPr>
        <sz val="10.5"/>
        <color theme="1"/>
        <rFont val="宋体"/>
        <family val="3"/>
        <charset val="134"/>
      </rPr>
      <t>后高空排放，</t>
    </r>
    <r>
      <rPr>
        <sz val="10.5"/>
        <color rgb="FFFF0000"/>
        <rFont val="宋体"/>
        <family val="3"/>
        <charset val="134"/>
      </rPr>
      <t>水喷淋除尘效率</t>
    </r>
    <r>
      <rPr>
        <sz val="10.5"/>
        <color rgb="FFFF0000"/>
        <rFont val="Times New Roman"/>
        <family val="1"/>
      </rPr>
      <t>80%</t>
    </r>
    <r>
      <rPr>
        <sz val="10.5"/>
        <color rgb="FFFF0000"/>
        <rFont val="宋体"/>
        <family val="3"/>
        <charset val="134"/>
      </rPr>
      <t>，粉尘收集效率为</t>
    </r>
    <r>
      <rPr>
        <sz val="10.5"/>
        <color rgb="FFFF0000"/>
        <rFont val="Times New Roman"/>
        <family val="1"/>
      </rPr>
      <t>90%</t>
    </r>
    <r>
      <rPr>
        <sz val="10.5"/>
        <color theme="1"/>
        <rFont val="宋体"/>
        <family val="3"/>
        <charset val="134"/>
      </rPr>
      <t>，根据建设单位提供的资料，项目每小时抛光管材量为</t>
    </r>
    <r>
      <rPr>
        <sz val="10.5"/>
        <color rgb="FFFF0000"/>
        <rFont val="Times New Roman"/>
        <family val="1"/>
      </rPr>
      <t>1.77t</t>
    </r>
    <r>
      <rPr>
        <sz val="10.5"/>
        <color rgb="FFFF0000"/>
        <rFont val="宋体"/>
        <family val="3"/>
        <charset val="134"/>
      </rPr>
      <t>。</t>
    </r>
    <r>
      <rPr>
        <sz val="10.5"/>
        <color theme="1"/>
        <rFont val="宋体"/>
        <family val="3"/>
        <charset val="134"/>
      </rPr>
      <t>抛光工序为连续的工序，每天抛光时间为</t>
    </r>
    <r>
      <rPr>
        <sz val="10.5"/>
        <color rgb="FFFF0000"/>
        <rFont val="Times New Roman"/>
        <family val="1"/>
      </rPr>
      <t>8</t>
    </r>
    <r>
      <rPr>
        <sz val="10.5"/>
        <color rgb="FFFF0000"/>
        <rFont val="宋体"/>
        <family val="3"/>
        <charset val="134"/>
      </rPr>
      <t>小时</t>
    </r>
    <r>
      <rPr>
        <sz val="10.5"/>
        <color theme="1"/>
        <rFont val="宋体"/>
        <family val="3"/>
        <charset val="134"/>
      </rPr>
      <t>，风机风量为</t>
    </r>
    <r>
      <rPr>
        <sz val="10.5"/>
        <color rgb="FFFF0000"/>
        <rFont val="Times New Roman"/>
        <family val="1"/>
      </rPr>
      <t>8000m</t>
    </r>
    <r>
      <rPr>
        <vertAlign val="superscript"/>
        <sz val="10.5"/>
        <color rgb="FFFF0000"/>
        <rFont val="Times New Roman"/>
        <family val="1"/>
      </rPr>
      <t>3</t>
    </r>
    <r>
      <rPr>
        <sz val="10.5"/>
        <color rgb="FFFF0000"/>
        <rFont val="Times New Roman"/>
        <family val="1"/>
      </rPr>
      <t>/h</t>
    </r>
    <r>
      <rPr>
        <sz val="10.5"/>
        <color theme="1"/>
        <rFont val="宋体"/>
        <family val="3"/>
        <charset val="134"/>
      </rPr>
      <t>。则抛光粉尘产生和排放情况如下表。</t>
    </r>
  </si>
  <si>
    <r>
      <t>项目需要对制成的不锈钢管材的表面进行布轮抛光。布轮抛光原理是通过布和管材间的摩擦，使得管材表面光滑。抛光会因布轮跟管材表面的摩擦产生粉尘。项目在抛光机的上方设置了集气罩，将粉尘收集后使用</t>
    </r>
    <r>
      <rPr>
        <sz val="10.5"/>
        <color rgb="FFFF0000"/>
        <rFont val="宋体"/>
        <family val="3"/>
        <charset val="134"/>
      </rPr>
      <t>水喷淋对粉尘进行处理</t>
    </r>
    <r>
      <rPr>
        <sz val="10.5"/>
        <color theme="1"/>
        <rFont val="宋体"/>
        <family val="3"/>
        <charset val="134"/>
      </rPr>
      <t>。</t>
    </r>
    <r>
      <rPr>
        <sz val="10.5"/>
        <color rgb="FFFF0000"/>
        <rFont val="宋体"/>
        <family val="3"/>
        <charset val="134"/>
      </rPr>
      <t>水喷淋</t>
    </r>
    <r>
      <rPr>
        <sz val="10.5"/>
        <color theme="1"/>
        <rFont val="宋体"/>
        <family val="3"/>
        <charset val="134"/>
      </rPr>
      <t>除尘效率可达</t>
    </r>
    <r>
      <rPr>
        <sz val="10.5"/>
        <color rgb="FFFF0000"/>
        <rFont val="Times New Roman"/>
        <family val="1"/>
      </rPr>
      <t>80%</t>
    </r>
    <r>
      <rPr>
        <sz val="10.5"/>
        <color theme="1"/>
        <rFont val="宋体"/>
        <family val="3"/>
        <charset val="134"/>
      </rPr>
      <t>，除尘效果良好，经核算，项目抛光粉尘经水喷淋处理后，排放浓度和排放速率均能达到《大气污染物排放限值》第二时段二级标准和无组织排放浓度限制。项目使用水喷淋治理粉尘后，粉尘排放量较少，经大气稀释扩散后，对环境影响不明显。</t>
    </r>
  </si>
  <si>
    <r>
      <t>水喷淋除尘后经</t>
    </r>
    <r>
      <rPr>
        <sz val="10.5"/>
        <color theme="1"/>
        <rFont val="Times New Roman"/>
        <family val="1"/>
      </rPr>
      <t>15</t>
    </r>
    <r>
      <rPr>
        <sz val="10.5"/>
        <color theme="1"/>
        <rFont val="宋体"/>
        <family val="3"/>
        <charset val="134"/>
      </rPr>
      <t>米排气筒排放</t>
    </r>
  </si>
  <si>
    <t>钢</t>
  </si>
  <si>
    <t>布袋除尘处理</t>
  </si>
  <si>
    <t>配套脉冲式布袋除尘器，处理后无组织排放</t>
  </si>
  <si>
    <t>铝</t>
  </si>
  <si>
    <t>压铸</t>
  </si>
  <si>
    <t>压铸油雾</t>
  </si>
  <si>
    <r>
      <t>颗粒物排放执行《大气污染物排放限值》（DB44/27-2001</t>
    </r>
    <r>
      <rPr>
        <sz val="10.5"/>
        <color theme="1"/>
        <rFont val="宋体"/>
        <family val="3"/>
        <charset val="134"/>
      </rPr>
      <t>）中第二时段二级标准和无组织排放监控浓度限值，即</t>
    </r>
    <r>
      <rPr>
        <sz val="10.5"/>
        <color theme="1"/>
        <rFont val="Times New Roman"/>
        <family val="1"/>
      </rPr>
      <t>1mg/m</t>
    </r>
    <r>
      <rPr>
        <vertAlign val="superscript"/>
        <sz val="10.5"/>
        <color theme="1"/>
        <rFont val="Times New Roman"/>
        <family val="1"/>
      </rPr>
      <t>3</t>
    </r>
    <r>
      <rPr>
        <sz val="10.5"/>
        <color theme="1"/>
        <rFont val="宋体"/>
        <family val="3"/>
        <charset val="134"/>
      </rPr>
      <t>。</t>
    </r>
  </si>
  <si>
    <r>
      <t>项目根据生产需要对铝锭进行熔融、压铸，利用压力脱模。生产过程烟尘主要来自铝锭的熔融及压铸，由于铝锭中含有杂质，故熔融和压铸过程会产生一定量的烟尘，污染因子为颗粒物。参考《污染源普查产排污系数手册（下）》中：第一篇“</t>
    </r>
    <r>
      <rPr>
        <sz val="10.5"/>
        <color theme="1"/>
        <rFont val="宋体"/>
        <family val="3"/>
        <charset val="134"/>
      </rPr>
      <t>工业污染源产排污系数</t>
    </r>
    <r>
      <rPr>
        <sz val="10.5"/>
        <color theme="1"/>
        <rFont val="Times New Roman"/>
        <family val="1"/>
      </rPr>
      <t>”</t>
    </r>
    <r>
      <rPr>
        <sz val="10.5"/>
        <color theme="1"/>
        <rFont val="宋体"/>
        <family val="3"/>
        <charset val="134"/>
      </rPr>
      <t>中的第</t>
    </r>
    <r>
      <rPr>
        <sz val="10.5"/>
        <color theme="1"/>
        <rFont val="Times New Roman"/>
        <family val="1"/>
      </rPr>
      <t>35</t>
    </r>
    <r>
      <rPr>
        <sz val="10.5"/>
        <color theme="1"/>
        <rFont val="宋体"/>
        <family val="3"/>
        <charset val="134"/>
      </rPr>
      <t>节</t>
    </r>
    <r>
      <rPr>
        <sz val="10.5"/>
        <color theme="1"/>
        <rFont val="Times New Roman"/>
        <family val="1"/>
      </rPr>
      <t>“</t>
    </r>
    <r>
      <rPr>
        <sz val="10.5"/>
        <color theme="1"/>
        <rFont val="宋体"/>
        <family val="3"/>
        <charset val="134"/>
      </rPr>
      <t>通用设备制造业</t>
    </r>
    <r>
      <rPr>
        <sz val="10.5"/>
        <color theme="1"/>
        <rFont val="Times New Roman"/>
        <family val="1"/>
      </rPr>
      <t>”</t>
    </r>
    <r>
      <rPr>
        <sz val="10.5"/>
        <color theme="1"/>
        <rFont val="宋体"/>
        <family val="3"/>
        <charset val="134"/>
      </rPr>
      <t>中</t>
    </r>
    <r>
      <rPr>
        <sz val="10.5"/>
        <color theme="1"/>
        <rFont val="Times New Roman"/>
        <family val="1"/>
      </rPr>
      <t>“</t>
    </r>
    <r>
      <rPr>
        <sz val="10.5"/>
        <color theme="1"/>
        <rFont val="宋体"/>
        <family val="3"/>
        <charset val="134"/>
      </rPr>
      <t>钢铁铸件制造业</t>
    </r>
    <r>
      <rPr>
        <sz val="10.5"/>
        <color theme="1"/>
        <rFont val="Times New Roman"/>
        <family val="1"/>
      </rPr>
      <t>”</t>
    </r>
    <r>
      <rPr>
        <sz val="10.5"/>
        <color theme="1"/>
        <rFont val="宋体"/>
        <family val="3"/>
        <charset val="134"/>
      </rPr>
      <t>，参照其中铸铝件（结构材料：铝合金锭）中烟尘产污系数</t>
    </r>
    <r>
      <rPr>
        <sz val="10.5"/>
        <color theme="1"/>
        <rFont val="Times New Roman"/>
        <family val="1"/>
      </rPr>
      <t>3.4kg/</t>
    </r>
    <r>
      <rPr>
        <sz val="10.5"/>
        <color theme="1"/>
        <rFont val="宋体"/>
        <family val="3"/>
        <charset val="134"/>
      </rPr>
      <t>吨产品，企业铸铝转子产品约</t>
    </r>
    <r>
      <rPr>
        <sz val="10.5"/>
        <color rgb="FFFF0000"/>
        <rFont val="Times New Roman"/>
        <family val="1"/>
      </rPr>
      <t>260t/a</t>
    </r>
    <r>
      <rPr>
        <sz val="10.5"/>
        <color theme="1"/>
        <rFont val="宋体"/>
        <family val="3"/>
        <charset val="134"/>
      </rPr>
      <t>，</t>
    </r>
    <r>
      <rPr>
        <sz val="10.5"/>
        <color theme="1"/>
        <rFont val="Times New Roman"/>
        <family val="1"/>
      </rPr>
      <t>1</t>
    </r>
    <r>
      <rPr>
        <sz val="10.5"/>
        <color theme="1"/>
        <rFont val="宋体"/>
        <family val="3"/>
        <charset val="134"/>
      </rPr>
      <t>小时最大产能约</t>
    </r>
    <r>
      <rPr>
        <sz val="10.5"/>
        <color rgb="FFFF0000"/>
        <rFont val="Times New Roman"/>
        <family val="1"/>
      </rPr>
      <t>144kg</t>
    </r>
    <r>
      <rPr>
        <sz val="10.5"/>
        <color theme="1"/>
        <rFont val="宋体"/>
        <family val="3"/>
        <charset val="134"/>
      </rPr>
      <t>，则烟尘产生速率为</t>
    </r>
    <r>
      <rPr>
        <sz val="10.5"/>
        <color rgb="FFFF0000"/>
        <rFont val="Times New Roman"/>
        <family val="1"/>
      </rPr>
      <t>0.5kg/h</t>
    </r>
    <r>
      <rPr>
        <sz val="10.5"/>
        <color theme="1"/>
        <rFont val="宋体"/>
        <family val="3"/>
        <charset val="134"/>
      </rPr>
      <t>和产生量为</t>
    </r>
    <r>
      <rPr>
        <sz val="10.5"/>
        <color rgb="FFFF0000"/>
        <rFont val="Times New Roman"/>
        <family val="1"/>
      </rPr>
      <t>0.88 t/a</t>
    </r>
    <r>
      <rPr>
        <sz val="10.5"/>
        <color theme="1"/>
        <rFont val="宋体"/>
        <family val="3"/>
        <charset val="134"/>
      </rPr>
      <t>，采用集气罩收集后经布袋除尘后引至</t>
    </r>
    <r>
      <rPr>
        <sz val="10.5"/>
        <color theme="1"/>
        <rFont val="Times New Roman"/>
        <family val="1"/>
      </rPr>
      <t>15m</t>
    </r>
    <r>
      <rPr>
        <sz val="10.5"/>
        <color theme="1"/>
        <rFont val="宋体"/>
        <family val="3"/>
        <charset val="134"/>
      </rPr>
      <t>高排气筒排放，收集效率约为</t>
    </r>
    <r>
      <rPr>
        <sz val="10.5"/>
        <color theme="1"/>
        <rFont val="Times New Roman"/>
        <family val="1"/>
      </rPr>
      <t>90%</t>
    </r>
    <r>
      <rPr>
        <sz val="10.5"/>
        <color theme="1"/>
        <rFont val="宋体"/>
        <family val="3"/>
        <charset val="134"/>
      </rPr>
      <t>，处理效果为</t>
    </r>
    <r>
      <rPr>
        <sz val="10.5"/>
        <color theme="1"/>
        <rFont val="Times New Roman"/>
        <family val="1"/>
      </rPr>
      <t>99%</t>
    </r>
    <r>
      <rPr>
        <sz val="10.5"/>
        <color theme="1"/>
        <rFont val="宋体"/>
        <family val="3"/>
        <charset val="134"/>
      </rPr>
      <t>。项目压铸烟尘产生排放情况见下表：</t>
    </r>
  </si>
  <si>
    <r>
      <t>项目根据生产需要对铝锭进行熔融、压铸，利用压力脱模。生产过程烟尘主要来自铝锭的熔融及压铸，由于铝锭中含有杂质，故熔融和压铸过程会产生一定量的烟尘，污染因子为颗粒物。采用集气罩收集后经布袋除尘后引至15m</t>
    </r>
    <r>
      <rPr>
        <sz val="10.5"/>
        <color theme="1"/>
        <rFont val="宋体"/>
        <family val="3"/>
        <charset val="134"/>
      </rPr>
      <t>高排气筒排放，根据污染源强分析章节计算可知，经处理后烟尘的排放速率为</t>
    </r>
    <r>
      <rPr>
        <sz val="10.5"/>
        <color rgb="FFFF0000"/>
        <rFont val="Times New Roman"/>
        <family val="1"/>
      </rPr>
      <t>0.004kg/h</t>
    </r>
    <r>
      <rPr>
        <sz val="10.5"/>
        <color theme="1"/>
        <rFont val="宋体"/>
        <family val="3"/>
        <charset val="134"/>
      </rPr>
      <t>，排放浓度为</t>
    </r>
    <r>
      <rPr>
        <sz val="10.5"/>
        <color rgb="FFFF0000"/>
        <rFont val="Times New Roman"/>
        <family val="1"/>
      </rPr>
      <t>0.55 mg/m</t>
    </r>
    <r>
      <rPr>
        <vertAlign val="superscript"/>
        <sz val="10.5"/>
        <color rgb="FFFF0000"/>
        <rFont val="Times New Roman"/>
        <family val="1"/>
      </rPr>
      <t>3</t>
    </r>
    <r>
      <rPr>
        <sz val="10.5"/>
        <color theme="1"/>
        <rFont val="宋体"/>
        <family val="3"/>
        <charset val="134"/>
      </rPr>
      <t>，符合广东省地方标准《大气污染物排放限值》（</t>
    </r>
    <r>
      <rPr>
        <sz val="10.5"/>
        <color theme="1"/>
        <rFont val="Times New Roman"/>
        <family val="1"/>
      </rPr>
      <t>DB44/27-2001</t>
    </r>
    <r>
      <rPr>
        <sz val="10.5"/>
        <color theme="1"/>
        <rFont val="宋体"/>
        <family val="3"/>
        <charset val="134"/>
      </rPr>
      <t>）的第二时段二级标准排放标准，不会对周围的环境造成大的影响。</t>
    </r>
  </si>
  <si>
    <t>木</t>
  </si>
  <si>
    <t>锯</t>
  </si>
  <si>
    <t>木加工粉尘</t>
  </si>
  <si>
    <r>
      <t>颗粒物排放执行《大气污染物排放限值》（</t>
    </r>
    <r>
      <rPr>
        <sz val="10.5"/>
        <color theme="1"/>
        <rFont val="Times New Roman"/>
        <family val="1"/>
      </rPr>
      <t>DB44/27-2001</t>
    </r>
    <r>
      <rPr>
        <sz val="10.5"/>
        <color theme="1"/>
        <rFont val="宋体"/>
        <family val="3"/>
        <charset val="134"/>
      </rPr>
      <t>）中第二时段二级标准和无组织排放监控浓度限值：即1mg/m</t>
    </r>
    <r>
      <rPr>
        <vertAlign val="superscript"/>
        <sz val="10.5"/>
        <color theme="1"/>
        <rFont val="Times New Roman"/>
        <family val="1"/>
      </rPr>
      <t>3</t>
    </r>
    <r>
      <rPr>
        <sz val="10.5"/>
        <color theme="1"/>
        <rFont val="宋体"/>
        <family val="3"/>
        <charset val="134"/>
      </rPr>
      <t>。</t>
    </r>
  </si>
  <si>
    <r>
      <t>项目木材开料、木加工、打磨过程中会产生少量木屑粉尘，污染因子为颗粒物。项目年加工木材料为</t>
    </r>
    <r>
      <rPr>
        <sz val="10.5"/>
        <color rgb="FFFF0000"/>
        <rFont val="Times New Roman"/>
        <family val="1"/>
      </rPr>
      <t>101t</t>
    </r>
    <r>
      <rPr>
        <sz val="10.5"/>
        <color theme="1"/>
        <rFont val="宋体"/>
        <family val="3"/>
        <charset val="134"/>
      </rPr>
      <t>，小时最大木材加工量为</t>
    </r>
    <r>
      <rPr>
        <sz val="10.5"/>
        <color rgb="FFFF0000"/>
        <rFont val="Times New Roman"/>
        <family val="1"/>
      </rPr>
      <t>56kg/h</t>
    </r>
    <r>
      <rPr>
        <sz val="10.5"/>
        <color theme="1"/>
        <rFont val="宋体"/>
        <family val="3"/>
        <charset val="134"/>
      </rPr>
      <t>。粉尘经过布袋除尘处理后无组织排放。参照美国环保局空气污染排放和控制手册，开料和木加工粉尘产生系数为</t>
    </r>
    <r>
      <rPr>
        <sz val="10.5"/>
        <color theme="1"/>
        <rFont val="Times New Roman"/>
        <family val="1"/>
      </rPr>
      <t>0.175kg/t</t>
    </r>
    <r>
      <rPr>
        <sz val="10.5"/>
        <color theme="1"/>
        <rFont val="宋体"/>
        <family val="3"/>
        <charset val="134"/>
      </rPr>
      <t>木材，木工粉尘产生及计算情况见下表。</t>
    </r>
  </si>
  <si>
    <r>
      <t>项目生产过程主要为木加工工序等，加工过程会产生少量粉尘。项目配套简易布袋除尘，粉尘经布袋除尘后无组织排放。处理后粉尘的排放量少。布料、海绵粉尘的粒径较大，容易沉降，不会飞扬，车间内无组织排放。运用估算模式面源模型计算，粉尘经处理后无组织厂界浓度小于</t>
    </r>
    <r>
      <rPr>
        <sz val="10.5"/>
        <color rgb="FFFF0000"/>
        <rFont val="Times New Roman"/>
        <family val="1"/>
      </rPr>
      <t>0.0001mg/m</t>
    </r>
    <r>
      <rPr>
        <vertAlign val="superscript"/>
        <sz val="10.5"/>
        <color rgb="FFFF0000"/>
        <rFont val="Times New Roman"/>
        <family val="1"/>
      </rPr>
      <t>3</t>
    </r>
    <r>
      <rPr>
        <sz val="10.5"/>
        <rFont val="宋体"/>
        <family val="3"/>
        <charset val="134"/>
      </rPr>
      <t>，可达到广东省地方标准《大气污染物排放限值》（</t>
    </r>
    <r>
      <rPr>
        <sz val="10.5"/>
        <rFont val="Times New Roman"/>
        <family val="1"/>
      </rPr>
      <t>DB44/27-2001</t>
    </r>
    <r>
      <rPr>
        <sz val="10.5"/>
        <rFont val="宋体"/>
        <family val="3"/>
        <charset val="134"/>
      </rPr>
      <t>）中的颗粒物无组织排放监控浓度限值（浓度为</t>
    </r>
    <r>
      <rPr>
        <sz val="10.5"/>
        <rFont val="Times New Roman"/>
        <family val="1"/>
      </rPr>
      <t>1.0mg/m</t>
    </r>
    <r>
      <rPr>
        <vertAlign val="superscript"/>
        <sz val="10.5"/>
        <rFont val="Times New Roman"/>
        <family val="1"/>
      </rPr>
      <t>3</t>
    </r>
    <r>
      <rPr>
        <sz val="10.5"/>
        <rFont val="宋体"/>
        <family val="3"/>
        <charset val="134"/>
      </rPr>
      <t>），对周围环境影响不明显。项目应定期清理布袋粉尘和更换布袋，减少除尘器的粉尘量，定期检查车间通风和排气系统保证车间内空气通畅，给员工发放必要的劳保用品，以保护员工的身体健康。</t>
    </r>
  </si>
  <si>
    <t>简易布袋除尘器</t>
  </si>
  <si>
    <t>板</t>
  </si>
  <si>
    <t>开料</t>
  </si>
  <si>
    <t>刨</t>
  </si>
  <si>
    <t>砂</t>
  </si>
  <si>
    <t>磨</t>
  </si>
  <si>
    <t>油墨</t>
  </si>
  <si>
    <t>印</t>
  </si>
  <si>
    <t>印刷有机废气（水性油墨）</t>
    <phoneticPr fontId="6" type="noConversion"/>
  </si>
  <si>
    <r>
      <t>本项目印刷采用橡胶版，为凸版印刷，</t>
    </r>
    <r>
      <rPr>
        <sz val="10.5"/>
        <color theme="1"/>
        <rFont val="宋体"/>
        <family val="3"/>
        <charset val="134"/>
      </rPr>
      <t>印刷有机废气执行广东省地方标准《印刷行业挥发性有机化合物排放标准》（</t>
    </r>
    <r>
      <rPr>
        <sz val="10.5"/>
        <color theme="1"/>
        <rFont val="Times New Roman"/>
        <family val="1"/>
      </rPr>
      <t>DB44/815-2010</t>
    </r>
    <r>
      <rPr>
        <sz val="10.5"/>
        <color theme="1"/>
        <rFont val="宋体"/>
        <family val="3"/>
        <charset val="134"/>
      </rPr>
      <t>）排气筒</t>
    </r>
    <r>
      <rPr>
        <sz val="10.5"/>
        <color theme="1"/>
        <rFont val="Times New Roman"/>
        <family val="1"/>
      </rPr>
      <t>VOCs</t>
    </r>
    <r>
      <rPr>
        <sz val="10.5"/>
        <color theme="1"/>
        <rFont val="宋体"/>
        <family val="3"/>
        <charset val="134"/>
      </rPr>
      <t>排放限值中</t>
    </r>
    <r>
      <rPr>
        <sz val="10.5"/>
        <color theme="1"/>
        <rFont val="Times New Roman"/>
        <family val="1"/>
      </rPr>
      <t>II</t>
    </r>
    <r>
      <rPr>
        <sz val="10.5"/>
        <color theme="1"/>
        <rFont val="宋体"/>
        <family val="3"/>
        <charset val="134"/>
      </rPr>
      <t>时段凸版印刷标准。（凸版印刷油墨</t>
    </r>
    <r>
      <rPr>
        <sz val="10.5"/>
        <color theme="1"/>
        <rFont val="Times New Roman"/>
        <family val="1"/>
      </rPr>
      <t>VOCs</t>
    </r>
    <r>
      <rPr>
        <sz val="10.5"/>
        <color theme="1"/>
        <rFont val="宋体"/>
        <family val="3"/>
        <charset val="134"/>
      </rPr>
      <t>含量的最高限值</t>
    </r>
    <r>
      <rPr>
        <sz val="10.5"/>
        <color theme="1"/>
        <rFont val="Times New Roman"/>
        <family val="1"/>
      </rPr>
      <t>300g/L</t>
    </r>
    <r>
      <rPr>
        <sz val="10.5"/>
        <color theme="1"/>
        <rFont val="宋体"/>
        <family val="3"/>
        <charset val="134"/>
      </rPr>
      <t>）。</t>
    </r>
  </si>
  <si>
    <r>
      <t>本项目有印刷机</t>
    </r>
    <r>
      <rPr>
        <sz val="10.5"/>
        <color rgb="FFFF0000"/>
        <rFont val="Times New Roman"/>
        <family val="1"/>
      </rPr>
      <t>1</t>
    </r>
    <r>
      <rPr>
        <sz val="10.5"/>
        <color rgb="FFFF0000"/>
        <rFont val="宋体"/>
        <family val="3"/>
        <charset val="134"/>
      </rPr>
      <t>台</t>
    </r>
    <r>
      <rPr>
        <sz val="10.5"/>
        <color theme="1"/>
        <rFont val="宋体"/>
        <family val="3"/>
        <charset val="134"/>
      </rPr>
      <t>，使用水性油墨对纸板进行印刷，印刷过程会产生有机废气，其污染物因子主要是总</t>
    </r>
    <r>
      <rPr>
        <sz val="10.5"/>
        <color theme="1"/>
        <rFont val="Times New Roman"/>
        <family val="1"/>
      </rPr>
      <t>VOCs</t>
    </r>
    <r>
      <rPr>
        <sz val="10.5"/>
        <color theme="1"/>
        <rFont val="宋体"/>
        <family val="3"/>
        <charset val="134"/>
      </rPr>
      <t>。</t>
    </r>
    <r>
      <rPr>
        <sz val="10.5"/>
        <color rgb="FFFF0000"/>
        <rFont val="宋体"/>
        <family val="3"/>
        <charset val="134"/>
      </rPr>
      <t>根据《佛山市工业污染源挥发性有机化合物（</t>
    </r>
    <r>
      <rPr>
        <sz val="10.5"/>
        <color rgb="FFFF0000"/>
        <rFont val="Times New Roman"/>
        <family val="1"/>
      </rPr>
      <t>VOCs</t>
    </r>
    <r>
      <rPr>
        <sz val="10.5"/>
        <color rgb="FFFF0000"/>
        <rFont val="宋体"/>
        <family val="3"/>
        <charset val="134"/>
      </rPr>
      <t>）排放与治理现状研究》的成果，水性油墨的总</t>
    </r>
    <r>
      <rPr>
        <sz val="10.5"/>
        <color rgb="FFFF0000"/>
        <rFont val="Times New Roman"/>
        <family val="1"/>
      </rPr>
      <t>VOCs</t>
    </r>
    <r>
      <rPr>
        <sz val="10.5"/>
        <color rgb="FFFF0000"/>
        <rFont val="宋体"/>
        <family val="3"/>
        <charset val="134"/>
      </rPr>
      <t>挥发系数为</t>
    </r>
    <r>
      <rPr>
        <sz val="10.5"/>
        <color rgb="FFFF0000"/>
        <rFont val="Times New Roman"/>
        <family val="1"/>
      </rPr>
      <t>0.05</t>
    </r>
    <r>
      <rPr>
        <sz val="10.5"/>
        <color theme="1"/>
        <rFont val="宋体"/>
        <family val="3"/>
        <charset val="134"/>
      </rPr>
      <t>。根据厂方提供的资料，按印刷工序每天工作</t>
    </r>
    <r>
      <rPr>
        <sz val="10.5"/>
        <color rgb="FFFF0000"/>
        <rFont val="Times New Roman"/>
        <family val="1"/>
      </rPr>
      <t>4</t>
    </r>
    <r>
      <rPr>
        <sz val="10.5"/>
        <color rgb="FFFF0000"/>
        <rFont val="宋体"/>
        <family val="3"/>
        <charset val="134"/>
      </rPr>
      <t>小时</t>
    </r>
    <r>
      <rPr>
        <sz val="10.5"/>
        <color theme="1"/>
        <rFont val="宋体"/>
        <family val="3"/>
        <charset val="134"/>
      </rPr>
      <t>计算，则项目水性油墨的最大使用量为</t>
    </r>
    <r>
      <rPr>
        <sz val="10.5"/>
        <color rgb="FFFF0000"/>
        <rFont val="Times New Roman"/>
        <family val="1"/>
      </rPr>
      <t>2.01kg/h</t>
    </r>
    <r>
      <rPr>
        <sz val="10.5"/>
        <color theme="1"/>
        <rFont val="宋体"/>
        <family val="3"/>
        <charset val="134"/>
      </rPr>
      <t>，则总</t>
    </r>
    <r>
      <rPr>
        <sz val="10.5"/>
        <color theme="1"/>
        <rFont val="Times New Roman"/>
        <family val="1"/>
      </rPr>
      <t>VOCs</t>
    </r>
    <r>
      <rPr>
        <sz val="10.5"/>
        <color theme="1"/>
        <rFont val="宋体"/>
        <family val="3"/>
        <charset val="134"/>
      </rPr>
      <t>的产生速率为</t>
    </r>
    <r>
      <rPr>
        <sz val="10.5"/>
        <color rgb="FFFF0000"/>
        <rFont val="Times New Roman"/>
        <family val="1"/>
      </rPr>
      <t>0.1kg/h</t>
    </r>
    <r>
      <rPr>
        <sz val="10.5"/>
        <color theme="1"/>
        <rFont val="宋体"/>
        <family val="3"/>
        <charset val="134"/>
      </rPr>
      <t>。项目水性油墨的总用量约为</t>
    </r>
    <r>
      <rPr>
        <sz val="10.5"/>
        <color theme="1"/>
        <rFont val="Times New Roman"/>
        <family val="1"/>
      </rPr>
      <t>2.1t/a</t>
    </r>
    <r>
      <rPr>
        <sz val="10.5"/>
        <color theme="1"/>
        <rFont val="宋体"/>
        <family val="3"/>
        <charset val="134"/>
      </rPr>
      <t>，则总</t>
    </r>
    <r>
      <rPr>
        <sz val="10.5"/>
        <color theme="1"/>
        <rFont val="Times New Roman"/>
        <family val="1"/>
      </rPr>
      <t>VOCs</t>
    </r>
    <r>
      <rPr>
        <sz val="10.5"/>
        <color theme="1"/>
        <rFont val="宋体"/>
        <family val="3"/>
        <charset val="134"/>
      </rPr>
      <t>的产生量约为</t>
    </r>
    <r>
      <rPr>
        <sz val="10.5"/>
        <color rgb="FFFF0000"/>
        <rFont val="Times New Roman"/>
        <family val="1"/>
      </rPr>
      <t>0.105t/a</t>
    </r>
    <r>
      <rPr>
        <sz val="10.5"/>
        <color theme="1"/>
        <rFont val="宋体"/>
        <family val="3"/>
        <charset val="134"/>
      </rPr>
      <t>。建议项目对印刷工序产生的有机废气进行收集，废气经收集后通过一个</t>
    </r>
    <r>
      <rPr>
        <sz val="10.5"/>
        <color theme="1"/>
        <rFont val="Times New Roman"/>
        <family val="1"/>
      </rPr>
      <t>15</t>
    </r>
    <r>
      <rPr>
        <sz val="10.5"/>
        <color theme="1"/>
        <rFont val="宋体"/>
        <family val="3"/>
        <charset val="134"/>
      </rPr>
      <t>米高的排气筒排放，建议风量为</t>
    </r>
    <r>
      <rPr>
        <sz val="10.5"/>
        <color rgb="FFFF0000"/>
        <rFont val="Times New Roman"/>
        <family val="1"/>
      </rPr>
      <t>5000m</t>
    </r>
    <r>
      <rPr>
        <vertAlign val="superscript"/>
        <sz val="10.5"/>
        <color rgb="FFFF0000"/>
        <rFont val="Times New Roman"/>
        <family val="1"/>
      </rPr>
      <t>3</t>
    </r>
    <r>
      <rPr>
        <sz val="10.5"/>
        <color rgb="FFFF0000"/>
        <rFont val="Times New Roman"/>
        <family val="1"/>
      </rPr>
      <t>/h</t>
    </r>
    <r>
      <rPr>
        <sz val="10.5"/>
        <color theme="1"/>
        <rFont val="宋体"/>
        <family val="3"/>
        <charset val="134"/>
      </rPr>
      <t>。项目集气效率约为</t>
    </r>
    <r>
      <rPr>
        <sz val="10.5"/>
        <color rgb="FFFF0000"/>
        <rFont val="Times New Roman"/>
        <family val="1"/>
      </rPr>
      <t>90</t>
    </r>
    <r>
      <rPr>
        <sz val="10.5"/>
        <color rgb="FFFF0000"/>
        <rFont val="宋体"/>
        <family val="3"/>
        <charset val="134"/>
      </rPr>
      <t>％</t>
    </r>
    <r>
      <rPr>
        <sz val="10.5"/>
        <color theme="1"/>
        <rFont val="宋体"/>
        <family val="3"/>
        <charset val="134"/>
      </rPr>
      <t>，未收集的废气通过车间无组织排放到外界。运用导则推荐的面源估算模型进行计算分析。将生产车间为总</t>
    </r>
    <r>
      <rPr>
        <sz val="10.5"/>
        <color theme="1"/>
        <rFont val="Times New Roman"/>
        <family val="1"/>
      </rPr>
      <t>VOCs</t>
    </r>
    <r>
      <rPr>
        <sz val="10.5"/>
        <color theme="1"/>
        <rFont val="宋体"/>
        <family val="3"/>
        <charset val="134"/>
      </rPr>
      <t>无组织排放区域，面积为</t>
    </r>
    <r>
      <rPr>
        <sz val="10.5"/>
        <color rgb="FFFF0000"/>
        <rFont val="Times New Roman"/>
        <family val="1"/>
      </rPr>
      <t>1100m</t>
    </r>
    <r>
      <rPr>
        <vertAlign val="superscript"/>
        <sz val="10.5"/>
        <color rgb="FFFF0000"/>
        <rFont val="Times New Roman"/>
        <family val="1"/>
      </rPr>
      <t>2</t>
    </r>
    <r>
      <rPr>
        <sz val="10.5"/>
        <color theme="1"/>
        <rFont val="宋体"/>
        <family val="3"/>
        <charset val="134"/>
      </rPr>
      <t>，高度约</t>
    </r>
    <r>
      <rPr>
        <sz val="10.5"/>
        <color rgb="FFFF0000"/>
        <rFont val="Times New Roman"/>
        <family val="1"/>
      </rPr>
      <t>5m</t>
    </r>
    <r>
      <rPr>
        <sz val="10.5"/>
        <color theme="1"/>
        <rFont val="宋体"/>
        <family val="3"/>
        <charset val="134"/>
      </rPr>
      <t>。则项目总</t>
    </r>
    <r>
      <rPr>
        <sz val="10.5"/>
        <color theme="1"/>
        <rFont val="Times New Roman"/>
        <family val="1"/>
      </rPr>
      <t>VOCs</t>
    </r>
    <r>
      <rPr>
        <sz val="10.5"/>
        <color theme="1"/>
        <rFont val="宋体"/>
        <family val="3"/>
        <charset val="134"/>
      </rPr>
      <t>产生排放情况见下表：</t>
    </r>
  </si>
  <si>
    <r>
      <t>项目印刷过程会产生有机废气，其污染因子主要是总VOCs</t>
    </r>
    <r>
      <rPr>
        <sz val="10.5"/>
        <color theme="1"/>
        <rFont val="宋体"/>
        <family val="3"/>
        <charset val="134"/>
      </rPr>
      <t>。项目拟对印刷废气进行收集，有机废气经收集后通过一个不低于</t>
    </r>
    <r>
      <rPr>
        <sz val="10.5"/>
        <color theme="1"/>
        <rFont val="Times New Roman"/>
        <family val="1"/>
      </rPr>
      <t>15</t>
    </r>
    <r>
      <rPr>
        <sz val="10.5"/>
        <color theme="1"/>
        <rFont val="宋体"/>
        <family val="3"/>
        <charset val="134"/>
      </rPr>
      <t>米高的排气筒排放，其中废气收集效率达到</t>
    </r>
    <r>
      <rPr>
        <sz val="10.5"/>
        <color theme="1"/>
        <rFont val="Times New Roman"/>
        <family val="1"/>
      </rPr>
      <t>90</t>
    </r>
    <r>
      <rPr>
        <sz val="10.5"/>
        <color theme="1"/>
        <rFont val="宋体"/>
        <family val="3"/>
        <charset val="134"/>
      </rPr>
      <t>％。</t>
    </r>
    <r>
      <rPr>
        <sz val="10.5"/>
        <color theme="1"/>
        <rFont val="Times New Roman"/>
        <family val="1"/>
      </rPr>
      <t xml:space="preserve">
</t>
    </r>
    <r>
      <rPr>
        <sz val="10.5"/>
        <color theme="1"/>
        <rFont val="宋体"/>
        <family val="3"/>
        <charset val="134"/>
      </rPr>
      <t>根据污染源强分析章节计算可知，项目的印刷工序产生的总</t>
    </r>
    <r>
      <rPr>
        <sz val="10.5"/>
        <color theme="1"/>
        <rFont val="Times New Roman"/>
        <family val="1"/>
      </rPr>
      <t>VOCs</t>
    </r>
    <r>
      <rPr>
        <sz val="10.5"/>
        <color theme="1"/>
        <rFont val="宋体"/>
        <family val="3"/>
        <charset val="134"/>
      </rPr>
      <t>有组织排放速率为</t>
    </r>
    <r>
      <rPr>
        <sz val="10.5"/>
        <color rgb="FFFF0000"/>
        <rFont val="Times New Roman"/>
        <family val="1"/>
      </rPr>
      <t>0.091kg/h</t>
    </r>
    <r>
      <rPr>
        <sz val="10.5"/>
        <color theme="1"/>
        <rFont val="宋体"/>
        <family val="3"/>
        <charset val="134"/>
      </rPr>
      <t>，有组织排放浓度为</t>
    </r>
    <r>
      <rPr>
        <sz val="10.5"/>
        <color rgb="FFFF0000"/>
        <rFont val="Times New Roman"/>
        <family val="1"/>
      </rPr>
      <t>18.17mg/m</t>
    </r>
    <r>
      <rPr>
        <vertAlign val="superscript"/>
        <sz val="10.5"/>
        <color rgb="FFFF0000"/>
        <rFont val="Times New Roman"/>
        <family val="1"/>
      </rPr>
      <t>3</t>
    </r>
    <r>
      <rPr>
        <sz val="10.5"/>
        <color theme="1"/>
        <rFont val="宋体"/>
        <family val="3"/>
        <charset val="134"/>
      </rPr>
      <t>，无组织排放</t>
    </r>
    <r>
      <rPr>
        <sz val="10.5"/>
        <color theme="1"/>
        <rFont val="Times New Roman"/>
        <family val="1"/>
      </rPr>
      <t xml:space="preserve"> </t>
    </r>
    <r>
      <rPr>
        <sz val="10.5"/>
        <color theme="1"/>
        <rFont val="宋体"/>
        <family val="3"/>
        <charset val="134"/>
      </rPr>
      <t>厂界浓度为</t>
    </r>
    <r>
      <rPr>
        <sz val="10.5"/>
        <color rgb="FFFF0000"/>
        <rFont val="Times New Roman"/>
        <family val="1"/>
      </rPr>
      <t>2.6×10-5mg/m</t>
    </r>
    <r>
      <rPr>
        <vertAlign val="superscript"/>
        <sz val="10.5"/>
        <color rgb="FFFF0000"/>
        <rFont val="Times New Roman"/>
        <family val="1"/>
      </rPr>
      <t>3</t>
    </r>
    <r>
      <rPr>
        <sz val="10.5"/>
        <color theme="1"/>
        <rFont val="宋体"/>
        <family val="3"/>
        <charset val="134"/>
      </rPr>
      <t>，均低于广东省地方标准《印刷行业挥发性有机化合物排放标准》（</t>
    </r>
    <r>
      <rPr>
        <sz val="10.5"/>
        <color theme="1"/>
        <rFont val="Times New Roman"/>
        <family val="1"/>
      </rPr>
      <t>DB44/815-2010</t>
    </r>
    <r>
      <rPr>
        <sz val="10.5"/>
        <color theme="1"/>
        <rFont val="宋体"/>
        <family val="3"/>
        <charset val="134"/>
      </rPr>
      <t>）排气筒</t>
    </r>
    <r>
      <rPr>
        <sz val="10.5"/>
        <color theme="1"/>
        <rFont val="Times New Roman"/>
        <family val="1"/>
      </rPr>
      <t>VOCs</t>
    </r>
    <r>
      <rPr>
        <sz val="10.5"/>
        <color theme="1"/>
        <rFont val="宋体"/>
        <family val="3"/>
        <charset val="134"/>
      </rPr>
      <t>排放限值（</t>
    </r>
    <r>
      <rPr>
        <sz val="10.5"/>
        <color theme="1"/>
        <rFont val="Times New Roman"/>
        <family val="1"/>
      </rPr>
      <t>II</t>
    </r>
    <r>
      <rPr>
        <sz val="10.5"/>
        <color theme="1"/>
        <rFont val="宋体"/>
        <family val="3"/>
        <charset val="134"/>
      </rPr>
      <t>时段凸版印刷：最高允许排放浓度：总</t>
    </r>
    <r>
      <rPr>
        <sz val="10.5"/>
        <color theme="1"/>
        <rFont val="Times New Roman"/>
        <family val="1"/>
      </rPr>
      <t>VOCs≤120mg/m</t>
    </r>
    <r>
      <rPr>
        <vertAlign val="superscript"/>
        <sz val="10.5"/>
        <color theme="1"/>
        <rFont val="Times New Roman"/>
        <family val="1"/>
      </rPr>
      <t>3</t>
    </r>
    <r>
      <rPr>
        <sz val="10.5"/>
        <color theme="1"/>
        <rFont val="宋体"/>
        <family val="3"/>
        <charset val="134"/>
      </rPr>
      <t>；最高允许排放速率：总</t>
    </r>
    <r>
      <rPr>
        <sz val="10.5"/>
        <color theme="1"/>
        <rFont val="Times New Roman"/>
        <family val="1"/>
      </rPr>
      <t>VOCs≤5.1kg/h</t>
    </r>
    <r>
      <rPr>
        <sz val="10.5"/>
        <color theme="1"/>
        <rFont val="宋体"/>
        <family val="3"/>
        <charset val="134"/>
      </rPr>
      <t>；无组织排放监控点浓度限值：总</t>
    </r>
    <r>
      <rPr>
        <sz val="10.5"/>
        <color theme="1"/>
        <rFont val="Times New Roman"/>
        <family val="1"/>
      </rPr>
      <t>VOCs≤2.0mg/m</t>
    </r>
    <r>
      <rPr>
        <vertAlign val="superscript"/>
        <sz val="10.5"/>
        <color theme="1"/>
        <rFont val="Times New Roman"/>
        <family val="1"/>
      </rPr>
      <t>3</t>
    </r>
    <r>
      <rPr>
        <sz val="10.5"/>
        <color theme="1"/>
        <rFont val="宋体"/>
        <family val="3"/>
        <charset val="134"/>
      </rPr>
      <t>），对周围环境影响不明显。</t>
    </r>
    <r>
      <rPr>
        <sz val="10.5"/>
        <color theme="1"/>
        <rFont val="Times New Roman"/>
        <family val="1"/>
      </rPr>
      <t xml:space="preserve">
</t>
    </r>
  </si>
  <si>
    <r>
      <t>废气收集后通过不低于15</t>
    </r>
    <r>
      <rPr>
        <sz val="10.5"/>
        <color theme="1"/>
        <rFont val="宋体"/>
        <family val="3"/>
        <charset val="134"/>
      </rPr>
      <t>米的排气筒排放</t>
    </r>
  </si>
  <si>
    <t>涂布</t>
  </si>
  <si>
    <t>涂布有机废气（水性油墨）</t>
    <phoneticPr fontId="6" type="noConversion"/>
  </si>
  <si>
    <t>纸板</t>
  </si>
  <si>
    <t>切角</t>
  </si>
  <si>
    <r>
      <rPr>
        <b/>
        <sz val="10.5"/>
        <color theme="1"/>
        <rFont val="宋体"/>
        <family val="3"/>
        <charset val="134"/>
      </rPr>
      <t>印刷有机废气（水性油墨</t>
    </r>
    <r>
      <rPr>
        <b/>
        <sz val="10.5"/>
        <color theme="1"/>
        <rFont val="Times New Roman"/>
        <family val="1"/>
      </rPr>
      <t>+</t>
    </r>
    <r>
      <rPr>
        <b/>
        <sz val="10.5"/>
        <color theme="1"/>
        <rFont val="宋体"/>
        <family val="3"/>
        <charset val="134"/>
      </rPr>
      <t>油性油墨）</t>
    </r>
    <phoneticPr fontId="6" type="noConversion"/>
  </si>
  <si>
    <r>
      <rPr>
        <sz val="10.5"/>
        <color rgb="FFFF0000"/>
        <rFont val="宋体"/>
        <family val="3"/>
        <charset val="134"/>
      </rPr>
      <t>本项目印刷为纸板印刷，印刷有机废气执行广东省地方标准《印刷行业挥发性有机化合物排放标准》（</t>
    </r>
    <r>
      <rPr>
        <sz val="10.5"/>
        <color rgb="FFFF0000"/>
        <rFont val="Times New Roman"/>
        <family val="1"/>
      </rPr>
      <t>DB44/815-2010</t>
    </r>
    <r>
      <rPr>
        <sz val="10.5"/>
        <color rgb="FFFF0000"/>
        <rFont val="宋体"/>
        <family val="3"/>
        <charset val="134"/>
      </rPr>
      <t>）排气筒</t>
    </r>
    <r>
      <rPr>
        <sz val="10.5"/>
        <color rgb="FFFF0000"/>
        <rFont val="Times New Roman"/>
        <family val="1"/>
      </rPr>
      <t>VOCs</t>
    </r>
    <r>
      <rPr>
        <sz val="10.5"/>
        <color rgb="FFFF0000"/>
        <rFont val="宋体"/>
        <family val="3"/>
        <charset val="134"/>
      </rPr>
      <t>排放限值中</t>
    </r>
    <r>
      <rPr>
        <sz val="10.5"/>
        <color rgb="FFFF0000"/>
        <rFont val="Times New Roman"/>
        <family val="1"/>
      </rPr>
      <t>II</t>
    </r>
    <r>
      <rPr>
        <sz val="10.5"/>
        <color rgb="FFFF0000"/>
        <rFont val="宋体"/>
        <family val="3"/>
        <charset val="134"/>
      </rPr>
      <t>时段凹版印刷标准。</t>
    </r>
    <phoneticPr fontId="6" type="noConversion"/>
  </si>
  <si>
    <t>自填</t>
  </si>
  <si>
    <r>
      <t>等离子+</t>
    </r>
    <r>
      <rPr>
        <sz val="10.5"/>
        <color theme="1"/>
        <rFont val="宋体"/>
        <family val="3"/>
        <charset val="134"/>
      </rPr>
      <t>活性炭</t>
    </r>
  </si>
  <si>
    <r>
      <t>本项目有印刷机2</t>
    </r>
    <r>
      <rPr>
        <sz val="10.5"/>
        <color rgb="FFFF0000"/>
        <rFont val="宋体"/>
        <family val="3"/>
        <charset val="134"/>
      </rPr>
      <t>台</t>
    </r>
    <r>
      <rPr>
        <sz val="10.5"/>
        <color theme="1"/>
        <rFont val="宋体"/>
        <family val="3"/>
        <charset val="134"/>
      </rPr>
      <t>，根据产品的需要，项目分别使用水性油墨和油性油墨对纸板进行印刷，印刷过程会产生有机废气，其污染物因子主要是总</t>
    </r>
    <r>
      <rPr>
        <sz val="10.5"/>
        <color theme="1"/>
        <rFont val="Times New Roman"/>
        <family val="1"/>
      </rPr>
      <t>VOCs</t>
    </r>
    <r>
      <rPr>
        <sz val="10.5"/>
        <color theme="1"/>
        <rFont val="宋体"/>
        <family val="3"/>
        <charset val="134"/>
      </rPr>
      <t>。根据厂方提供的资料，水性油墨使用量为</t>
    </r>
    <r>
      <rPr>
        <sz val="10.5"/>
        <color theme="1"/>
        <rFont val="Times New Roman"/>
        <family val="1"/>
      </rPr>
      <t>XX</t>
    </r>
    <r>
      <rPr>
        <sz val="10.5"/>
        <color theme="1"/>
        <rFont val="宋体"/>
        <family val="3"/>
        <charset val="134"/>
      </rPr>
      <t>吨，根据《佛山市工业污染源挥发性有机化合物（</t>
    </r>
    <r>
      <rPr>
        <sz val="10.5"/>
        <color theme="1"/>
        <rFont val="Times New Roman"/>
        <family val="1"/>
      </rPr>
      <t>VOCs</t>
    </r>
    <r>
      <rPr>
        <sz val="10.5"/>
        <color theme="1"/>
        <rFont val="宋体"/>
        <family val="3"/>
        <charset val="134"/>
      </rPr>
      <t>）排放与治理现状研究》的成果，水性油墨的总</t>
    </r>
    <r>
      <rPr>
        <sz val="10.5"/>
        <color theme="1"/>
        <rFont val="Times New Roman"/>
        <family val="1"/>
      </rPr>
      <t>VOCs</t>
    </r>
    <r>
      <rPr>
        <sz val="10.5"/>
        <color theme="1"/>
        <rFont val="宋体"/>
        <family val="3"/>
        <charset val="134"/>
      </rPr>
      <t>挥发系数为</t>
    </r>
    <r>
      <rPr>
        <sz val="10.5"/>
        <color theme="1"/>
        <rFont val="Times New Roman"/>
        <family val="1"/>
      </rPr>
      <t>0.05</t>
    </r>
    <r>
      <rPr>
        <sz val="10.5"/>
        <color theme="1"/>
        <rFont val="宋体"/>
        <family val="3"/>
        <charset val="134"/>
      </rPr>
      <t>；油性油墨使用量为</t>
    </r>
    <r>
      <rPr>
        <sz val="10.5"/>
        <color theme="1"/>
        <rFont val="Times New Roman"/>
        <family val="1"/>
      </rPr>
      <t>xx</t>
    </r>
    <r>
      <rPr>
        <sz val="10.5"/>
        <color theme="1"/>
        <rFont val="宋体"/>
        <family val="3"/>
        <charset val="134"/>
      </rPr>
      <t>吨，根据油性油墨和稀释剂的</t>
    </r>
    <r>
      <rPr>
        <sz val="10.5"/>
        <color theme="1"/>
        <rFont val="Times New Roman"/>
        <family val="1"/>
      </rPr>
      <t>MSDS</t>
    </r>
    <r>
      <rPr>
        <sz val="10.5"/>
        <color theme="1"/>
        <rFont val="宋体"/>
        <family val="3"/>
        <charset val="134"/>
      </rPr>
      <t>，可知油性油墨油墨的总</t>
    </r>
    <r>
      <rPr>
        <sz val="10.5"/>
        <color theme="1"/>
        <rFont val="Times New Roman"/>
        <family val="1"/>
      </rPr>
      <t>VOCs</t>
    </r>
    <r>
      <rPr>
        <sz val="10.5"/>
        <color theme="1"/>
        <rFont val="宋体"/>
        <family val="3"/>
        <charset val="134"/>
      </rPr>
      <t>挥发系数为</t>
    </r>
    <r>
      <rPr>
        <sz val="10.5"/>
        <color theme="1"/>
        <rFont val="Times New Roman"/>
        <family val="1"/>
      </rPr>
      <t>0.5</t>
    </r>
    <r>
      <rPr>
        <sz val="10.5"/>
        <color theme="1"/>
        <rFont val="宋体"/>
        <family val="3"/>
        <charset val="134"/>
      </rPr>
      <t>，稀释剂使用量为</t>
    </r>
    <r>
      <rPr>
        <sz val="10.5"/>
        <color theme="1"/>
        <rFont val="Times New Roman"/>
        <family val="1"/>
      </rPr>
      <t>XX</t>
    </r>
    <r>
      <rPr>
        <sz val="10.5"/>
        <color theme="1"/>
        <rFont val="宋体"/>
        <family val="3"/>
        <charset val="134"/>
      </rPr>
      <t>吨，挥发系数按</t>
    </r>
    <r>
      <rPr>
        <sz val="10.5"/>
        <color theme="1"/>
        <rFont val="Times New Roman"/>
        <family val="1"/>
      </rPr>
      <t>100%</t>
    </r>
    <r>
      <rPr>
        <sz val="10.5"/>
        <color theme="1"/>
        <rFont val="宋体"/>
        <family val="3"/>
        <charset val="134"/>
      </rPr>
      <t>计算。按印刷工序每天工作</t>
    </r>
    <r>
      <rPr>
        <sz val="10.5"/>
        <color rgb="FFFF0000"/>
        <rFont val="Times New Roman"/>
        <family val="1"/>
      </rPr>
      <t>4</t>
    </r>
    <r>
      <rPr>
        <sz val="10.5"/>
        <color rgb="FFFF0000"/>
        <rFont val="宋体"/>
        <family val="3"/>
        <charset val="134"/>
      </rPr>
      <t>小时</t>
    </r>
    <r>
      <rPr>
        <sz val="10.5"/>
        <color theme="1"/>
        <rFont val="宋体"/>
        <family val="3"/>
        <charset val="134"/>
      </rPr>
      <t>计算，则水性油墨和油性油墨总</t>
    </r>
    <r>
      <rPr>
        <sz val="10.5"/>
        <color theme="1"/>
        <rFont val="Times New Roman"/>
        <family val="1"/>
      </rPr>
      <t>VOCs</t>
    </r>
    <r>
      <rPr>
        <sz val="10.5"/>
        <color theme="1"/>
        <rFont val="宋体"/>
        <family val="3"/>
        <charset val="134"/>
      </rPr>
      <t>的产生量约为</t>
    </r>
    <r>
      <rPr>
        <sz val="10.5"/>
        <color rgb="FFFF0000"/>
        <rFont val="Times New Roman"/>
        <family val="1"/>
      </rPr>
      <t>0.105t/a</t>
    </r>
    <r>
      <rPr>
        <sz val="10.5"/>
        <color theme="1"/>
        <rFont val="宋体"/>
        <family val="3"/>
        <charset val="134"/>
      </rPr>
      <t>。建议项目对印刷工序产生的有机废气进行收集，废气经</t>
    </r>
    <r>
      <rPr>
        <sz val="10.5"/>
        <color rgb="FFFF0000"/>
        <rFont val="Times New Roman"/>
        <family val="1"/>
      </rPr>
      <t>“</t>
    </r>
    <r>
      <rPr>
        <sz val="10.5"/>
        <color rgb="FFFF0000"/>
        <rFont val="宋体"/>
        <family val="3"/>
        <charset val="134"/>
      </rPr>
      <t>等离子</t>
    </r>
    <r>
      <rPr>
        <sz val="10.5"/>
        <color rgb="FFFF0000"/>
        <rFont val="Times New Roman"/>
        <family val="1"/>
      </rPr>
      <t>+</t>
    </r>
    <r>
      <rPr>
        <sz val="10.5"/>
        <color rgb="FFFF0000"/>
        <rFont val="宋体"/>
        <family val="3"/>
        <charset val="134"/>
      </rPr>
      <t>活性炭</t>
    </r>
    <r>
      <rPr>
        <sz val="10.5"/>
        <color rgb="FFFF0000"/>
        <rFont val="Times New Roman"/>
        <family val="1"/>
      </rPr>
      <t>”</t>
    </r>
    <r>
      <rPr>
        <sz val="10.5"/>
        <color theme="1"/>
        <rFont val="宋体"/>
        <family val="3"/>
        <charset val="134"/>
      </rPr>
      <t>处理后通过一个</t>
    </r>
    <r>
      <rPr>
        <sz val="10.5"/>
        <color theme="1"/>
        <rFont val="Times New Roman"/>
        <family val="1"/>
      </rPr>
      <t>15</t>
    </r>
    <r>
      <rPr>
        <sz val="10.5"/>
        <color theme="1"/>
        <rFont val="宋体"/>
        <family val="3"/>
        <charset val="134"/>
      </rPr>
      <t>米高的排气筒排放，建议风量为</t>
    </r>
    <r>
      <rPr>
        <sz val="10.5"/>
        <color rgb="FFFF0000"/>
        <rFont val="Times New Roman"/>
        <family val="1"/>
      </rPr>
      <t>10000m</t>
    </r>
    <r>
      <rPr>
        <vertAlign val="superscript"/>
        <sz val="10.5"/>
        <color rgb="FFFF0000"/>
        <rFont val="Times New Roman"/>
        <family val="1"/>
      </rPr>
      <t>3</t>
    </r>
    <r>
      <rPr>
        <sz val="10.5"/>
        <color rgb="FFFF0000"/>
        <rFont val="Times New Roman"/>
        <family val="1"/>
      </rPr>
      <t>/h</t>
    </r>
    <r>
      <rPr>
        <sz val="10.5"/>
        <color theme="1"/>
        <rFont val="宋体"/>
        <family val="3"/>
        <charset val="134"/>
      </rPr>
      <t>。项目集气效率约为</t>
    </r>
    <r>
      <rPr>
        <sz val="10.5"/>
        <color rgb="FFFF0000"/>
        <rFont val="Times New Roman"/>
        <family val="1"/>
      </rPr>
      <t>90</t>
    </r>
    <r>
      <rPr>
        <sz val="10.5"/>
        <color rgb="FFFF0000"/>
        <rFont val="宋体"/>
        <family val="3"/>
        <charset val="134"/>
      </rPr>
      <t>％</t>
    </r>
    <r>
      <rPr>
        <sz val="10.5"/>
        <color theme="1"/>
        <rFont val="宋体"/>
        <family val="3"/>
        <charset val="134"/>
      </rPr>
      <t>，未收集的废气通过车间无组织排放到外界。运用导则推荐的面源估算模型进行计算分析。将生产车间为总</t>
    </r>
    <r>
      <rPr>
        <sz val="10.5"/>
        <color theme="1"/>
        <rFont val="Times New Roman"/>
        <family val="1"/>
      </rPr>
      <t>VOCs</t>
    </r>
    <r>
      <rPr>
        <sz val="10.5"/>
        <color theme="1"/>
        <rFont val="宋体"/>
        <family val="3"/>
        <charset val="134"/>
      </rPr>
      <t>无组织排放区域，面积为</t>
    </r>
    <r>
      <rPr>
        <sz val="10.5"/>
        <color rgb="FFFF0000"/>
        <rFont val="Times New Roman"/>
        <family val="1"/>
      </rPr>
      <t>1100m</t>
    </r>
    <r>
      <rPr>
        <vertAlign val="superscript"/>
        <sz val="10.5"/>
        <color rgb="FFFF0000"/>
        <rFont val="Times New Roman"/>
        <family val="1"/>
      </rPr>
      <t>2</t>
    </r>
    <r>
      <rPr>
        <sz val="10.5"/>
        <color theme="1"/>
        <rFont val="宋体"/>
        <family val="3"/>
        <charset val="134"/>
      </rPr>
      <t>，高度约</t>
    </r>
    <r>
      <rPr>
        <sz val="10.5"/>
        <color rgb="FFFF0000"/>
        <rFont val="Times New Roman"/>
        <family val="1"/>
      </rPr>
      <t>5m</t>
    </r>
    <r>
      <rPr>
        <sz val="10.5"/>
        <color theme="1"/>
        <rFont val="宋体"/>
        <family val="3"/>
        <charset val="134"/>
      </rPr>
      <t>。则项目总</t>
    </r>
    <r>
      <rPr>
        <sz val="10.5"/>
        <color theme="1"/>
        <rFont val="Times New Roman"/>
        <family val="1"/>
      </rPr>
      <t>VOCs</t>
    </r>
    <r>
      <rPr>
        <sz val="10.5"/>
        <color theme="1"/>
        <rFont val="宋体"/>
        <family val="3"/>
        <charset val="134"/>
      </rPr>
      <t>产生排放情况见下表：</t>
    </r>
  </si>
  <si>
    <r>
      <rPr>
        <sz val="10.5"/>
        <color theme="1"/>
        <rFont val="宋体"/>
        <family val="3"/>
        <charset val="134"/>
      </rPr>
      <t>项目印刷过程会产生有机废气，其污染因子主要是总</t>
    </r>
    <r>
      <rPr>
        <sz val="10.5"/>
        <color theme="1"/>
        <rFont val="Times New Roman"/>
        <family val="1"/>
      </rPr>
      <t>VOCs</t>
    </r>
    <r>
      <rPr>
        <sz val="10.5"/>
        <color theme="1"/>
        <rFont val="宋体"/>
        <family val="3"/>
        <charset val="134"/>
      </rPr>
      <t>。项目拟对印刷废气进行收集，有机废气</t>
    </r>
    <r>
      <rPr>
        <sz val="10.5"/>
        <color rgb="FFFF0000"/>
        <rFont val="宋体"/>
        <family val="3"/>
        <charset val="134"/>
      </rPr>
      <t>经</t>
    </r>
    <r>
      <rPr>
        <sz val="10.5"/>
        <color rgb="FFFF0000"/>
        <rFont val="Times New Roman"/>
        <family val="1"/>
      </rPr>
      <t>“</t>
    </r>
    <r>
      <rPr>
        <sz val="10.5"/>
        <color rgb="FFFF0000"/>
        <rFont val="宋体"/>
        <family val="3"/>
        <charset val="134"/>
      </rPr>
      <t>等离子</t>
    </r>
    <r>
      <rPr>
        <sz val="10.5"/>
        <color rgb="FFFF0000"/>
        <rFont val="Times New Roman"/>
        <family val="1"/>
      </rPr>
      <t>+</t>
    </r>
    <r>
      <rPr>
        <sz val="10.5"/>
        <color rgb="FFFF0000"/>
        <rFont val="宋体"/>
        <family val="3"/>
        <charset val="134"/>
      </rPr>
      <t>活性炭</t>
    </r>
    <r>
      <rPr>
        <sz val="10.5"/>
        <color rgb="FFFF0000"/>
        <rFont val="Times New Roman"/>
        <family val="1"/>
      </rPr>
      <t>”</t>
    </r>
    <r>
      <rPr>
        <sz val="10.5"/>
        <color rgb="FFFF0000"/>
        <rFont val="宋体"/>
        <family val="3"/>
        <charset val="134"/>
      </rPr>
      <t>处理后</t>
    </r>
    <r>
      <rPr>
        <sz val="10.5"/>
        <color theme="1"/>
        <rFont val="宋体"/>
        <family val="3"/>
        <charset val="134"/>
      </rPr>
      <t>通过一个不低于</t>
    </r>
    <r>
      <rPr>
        <sz val="10.5"/>
        <color theme="1"/>
        <rFont val="Times New Roman"/>
        <family val="1"/>
      </rPr>
      <t>15</t>
    </r>
    <r>
      <rPr>
        <sz val="10.5"/>
        <color theme="1"/>
        <rFont val="宋体"/>
        <family val="3"/>
        <charset val="134"/>
      </rPr>
      <t>米高的排气筒排放，其中废气收集效率达到</t>
    </r>
    <r>
      <rPr>
        <sz val="10.5"/>
        <color theme="1"/>
        <rFont val="Times New Roman"/>
        <family val="1"/>
      </rPr>
      <t>90</t>
    </r>
    <r>
      <rPr>
        <sz val="10.5"/>
        <color theme="1"/>
        <rFont val="宋体"/>
        <family val="3"/>
        <charset val="134"/>
      </rPr>
      <t>％。</t>
    </r>
    <r>
      <rPr>
        <sz val="10.5"/>
        <color theme="1"/>
        <rFont val="Times New Roman"/>
        <family val="1"/>
      </rPr>
      <t xml:space="preserve">
</t>
    </r>
    <r>
      <rPr>
        <sz val="10.5"/>
        <color theme="1"/>
        <rFont val="宋体"/>
        <family val="3"/>
        <charset val="134"/>
      </rPr>
      <t>根据污染源强分析章节计算可知，项目的印刷工序产生的总</t>
    </r>
    <r>
      <rPr>
        <sz val="10.5"/>
        <color theme="1"/>
        <rFont val="Times New Roman"/>
        <family val="1"/>
      </rPr>
      <t>VOCs</t>
    </r>
    <r>
      <rPr>
        <sz val="10.5"/>
        <color theme="1"/>
        <rFont val="宋体"/>
        <family val="3"/>
        <charset val="134"/>
      </rPr>
      <t>有组织排放速率为</t>
    </r>
    <r>
      <rPr>
        <sz val="10.5"/>
        <color rgb="FFFF0000"/>
        <rFont val="Times New Roman"/>
        <family val="1"/>
      </rPr>
      <t>0.091kg/h</t>
    </r>
    <r>
      <rPr>
        <sz val="10.5"/>
        <color theme="1"/>
        <rFont val="宋体"/>
        <family val="3"/>
        <charset val="134"/>
      </rPr>
      <t>，有组织排放浓度为</t>
    </r>
    <r>
      <rPr>
        <sz val="10.5"/>
        <color rgb="FFFF0000"/>
        <rFont val="Times New Roman"/>
        <family val="1"/>
      </rPr>
      <t>18.17mg/m</t>
    </r>
    <r>
      <rPr>
        <vertAlign val="superscript"/>
        <sz val="10.5"/>
        <color rgb="FFFF0000"/>
        <rFont val="Times New Roman"/>
        <family val="1"/>
      </rPr>
      <t>3</t>
    </r>
    <r>
      <rPr>
        <sz val="10.5"/>
        <color theme="1"/>
        <rFont val="宋体"/>
        <family val="3"/>
        <charset val="134"/>
      </rPr>
      <t>，无组织排放</t>
    </r>
    <r>
      <rPr>
        <sz val="10.5"/>
        <color theme="1"/>
        <rFont val="Times New Roman"/>
        <family val="1"/>
      </rPr>
      <t xml:space="preserve"> </t>
    </r>
    <r>
      <rPr>
        <sz val="10.5"/>
        <color theme="1"/>
        <rFont val="宋体"/>
        <family val="3"/>
        <charset val="134"/>
      </rPr>
      <t>厂界浓度为</t>
    </r>
    <r>
      <rPr>
        <sz val="10.5"/>
        <color rgb="FFFF0000"/>
        <rFont val="Times New Roman"/>
        <family val="1"/>
      </rPr>
      <t>2.6×10-5mg/m</t>
    </r>
    <r>
      <rPr>
        <vertAlign val="superscript"/>
        <sz val="10.5"/>
        <color rgb="FFFF0000"/>
        <rFont val="Times New Roman"/>
        <family val="1"/>
      </rPr>
      <t>3</t>
    </r>
    <r>
      <rPr>
        <sz val="10.5"/>
        <color theme="1"/>
        <rFont val="宋体"/>
        <family val="3"/>
        <charset val="134"/>
      </rPr>
      <t>，均低于广东省地方标准《印刷行业挥发性有机化合物排放标准》（</t>
    </r>
    <r>
      <rPr>
        <sz val="10.5"/>
        <color theme="1"/>
        <rFont val="Times New Roman"/>
        <family val="1"/>
      </rPr>
      <t>DB44/815-2010</t>
    </r>
    <r>
      <rPr>
        <sz val="10.5"/>
        <color theme="1"/>
        <rFont val="宋体"/>
        <family val="3"/>
        <charset val="134"/>
      </rPr>
      <t>）排气筒</t>
    </r>
    <r>
      <rPr>
        <sz val="10.5"/>
        <color theme="1"/>
        <rFont val="Times New Roman"/>
        <family val="1"/>
      </rPr>
      <t>VOCs</t>
    </r>
    <r>
      <rPr>
        <sz val="10.5"/>
        <color theme="1"/>
        <rFont val="宋体"/>
        <family val="3"/>
        <charset val="134"/>
      </rPr>
      <t>排放限值（</t>
    </r>
    <r>
      <rPr>
        <sz val="10.5"/>
        <color theme="1"/>
        <rFont val="Times New Roman"/>
        <family val="1"/>
      </rPr>
      <t>II</t>
    </r>
    <r>
      <rPr>
        <sz val="10.5"/>
        <color theme="1"/>
        <rFont val="宋体"/>
        <family val="3"/>
        <charset val="134"/>
      </rPr>
      <t>时段凸版印刷：最高允许排放浓度：总</t>
    </r>
    <r>
      <rPr>
        <sz val="10.5"/>
        <color theme="1"/>
        <rFont val="Times New Roman"/>
        <family val="1"/>
      </rPr>
      <t>VOCs</t>
    </r>
    <r>
      <rPr>
        <sz val="10.5"/>
        <color theme="1"/>
        <rFont val="宋体"/>
        <family val="3"/>
        <charset val="134"/>
      </rPr>
      <t>≤</t>
    </r>
    <r>
      <rPr>
        <sz val="10.5"/>
        <color theme="1"/>
        <rFont val="Times New Roman"/>
        <family val="1"/>
      </rPr>
      <t>120mg/m</t>
    </r>
    <r>
      <rPr>
        <vertAlign val="superscript"/>
        <sz val="10.5"/>
        <color theme="1"/>
        <rFont val="Times New Roman"/>
        <family val="1"/>
      </rPr>
      <t>3</t>
    </r>
    <r>
      <rPr>
        <sz val="10.5"/>
        <color theme="1"/>
        <rFont val="宋体"/>
        <family val="3"/>
        <charset val="134"/>
      </rPr>
      <t>；最高允许排放速率：总</t>
    </r>
    <r>
      <rPr>
        <sz val="10.5"/>
        <color theme="1"/>
        <rFont val="Times New Roman"/>
        <family val="1"/>
      </rPr>
      <t>VOCs</t>
    </r>
    <r>
      <rPr>
        <sz val="10.5"/>
        <color theme="1"/>
        <rFont val="宋体"/>
        <family val="3"/>
        <charset val="134"/>
      </rPr>
      <t>≤</t>
    </r>
    <r>
      <rPr>
        <sz val="10.5"/>
        <color theme="1"/>
        <rFont val="Times New Roman"/>
        <family val="1"/>
      </rPr>
      <t>5.1kg/h</t>
    </r>
    <r>
      <rPr>
        <sz val="10.5"/>
        <color theme="1"/>
        <rFont val="宋体"/>
        <family val="3"/>
        <charset val="134"/>
      </rPr>
      <t>；无组织排放监控点浓度限值：总</t>
    </r>
    <r>
      <rPr>
        <sz val="10.5"/>
        <color theme="1"/>
        <rFont val="Times New Roman"/>
        <family val="1"/>
      </rPr>
      <t>VOCs</t>
    </r>
    <r>
      <rPr>
        <sz val="10.5"/>
        <color theme="1"/>
        <rFont val="宋体"/>
        <family val="3"/>
        <charset val="134"/>
      </rPr>
      <t>≤</t>
    </r>
    <r>
      <rPr>
        <sz val="10.5"/>
        <color theme="1"/>
        <rFont val="Times New Roman"/>
        <family val="1"/>
      </rPr>
      <t>2.0mg/m</t>
    </r>
    <r>
      <rPr>
        <vertAlign val="superscript"/>
        <sz val="10.5"/>
        <color theme="1"/>
        <rFont val="Times New Roman"/>
        <family val="1"/>
      </rPr>
      <t>3</t>
    </r>
    <r>
      <rPr>
        <sz val="10.5"/>
        <color theme="1"/>
        <rFont val="宋体"/>
        <family val="3"/>
        <charset val="134"/>
      </rPr>
      <t>），对周围环境影响不明显。</t>
    </r>
    <r>
      <rPr>
        <sz val="10.5"/>
        <color theme="1"/>
        <rFont val="Times New Roman"/>
        <family val="1"/>
      </rPr>
      <t xml:space="preserve">
</t>
    </r>
    <phoneticPr fontId="6" type="noConversion"/>
  </si>
  <si>
    <r>
      <t>废气收集后经</t>
    </r>
    <r>
      <rPr>
        <sz val="10.5"/>
        <color rgb="FFFF0000"/>
        <rFont val="Times New Roman"/>
        <family val="1"/>
      </rPr>
      <t>“</t>
    </r>
    <r>
      <rPr>
        <sz val="10.5"/>
        <color rgb="FFFF0000"/>
        <rFont val="宋体"/>
        <family val="3"/>
        <charset val="134"/>
      </rPr>
      <t>等离子</t>
    </r>
    <r>
      <rPr>
        <sz val="10.5"/>
        <color rgb="FFFF0000"/>
        <rFont val="Times New Roman"/>
        <family val="1"/>
      </rPr>
      <t>+</t>
    </r>
    <r>
      <rPr>
        <sz val="10.5"/>
        <color rgb="FFFF0000"/>
        <rFont val="宋体"/>
        <family val="3"/>
        <charset val="134"/>
      </rPr>
      <t>活性炭</t>
    </r>
    <r>
      <rPr>
        <sz val="10.5"/>
        <color rgb="FFFF0000"/>
        <rFont val="Times New Roman"/>
        <family val="1"/>
      </rPr>
      <t>”</t>
    </r>
    <r>
      <rPr>
        <sz val="10.5"/>
        <color theme="1"/>
        <rFont val="宋体"/>
        <family val="3"/>
        <charset val="134"/>
      </rPr>
      <t>处理达标后通过不低于</t>
    </r>
    <r>
      <rPr>
        <sz val="10.5"/>
        <color theme="1"/>
        <rFont val="Times New Roman"/>
        <family val="1"/>
      </rPr>
      <t>15</t>
    </r>
    <r>
      <rPr>
        <sz val="10.5"/>
        <color theme="1"/>
        <rFont val="宋体"/>
        <family val="3"/>
        <charset val="134"/>
      </rPr>
      <t>米的排气筒排放</t>
    </r>
  </si>
  <si>
    <t>绝缘漆</t>
  </si>
  <si>
    <t>沉浸</t>
  </si>
  <si>
    <t>浸漆废气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</si>
  <si>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排放企业整治方案的通知》，浸漆有机废气参照执行《家具制造行业挥发性有机化合物排放标准》（</t>
    </r>
    <r>
      <rPr>
        <sz val="10.5"/>
        <color theme="1"/>
        <rFont val="Times New Roman"/>
        <family val="1"/>
      </rPr>
      <t>DB44/814-2010</t>
    </r>
    <r>
      <rPr>
        <sz val="10.5"/>
        <color theme="1"/>
        <rFont val="宋体"/>
        <family val="3"/>
        <charset val="134"/>
      </rPr>
      <t>）标准。</t>
    </r>
  </si>
  <si>
    <r>
      <t>等离子+uv</t>
    </r>
    <r>
      <rPr>
        <sz val="10.5"/>
        <color rgb="FFFF0000"/>
        <rFont val="宋体"/>
        <family val="3"/>
        <charset val="134"/>
      </rPr>
      <t>光解</t>
    </r>
  </si>
  <si>
    <r>
      <t>浸漆及干燥过程产生的VOCs</t>
    </r>
    <r>
      <rPr>
        <sz val="10.5"/>
        <color rgb="FF000000"/>
        <rFont val="宋体"/>
        <family val="3"/>
        <charset val="134"/>
      </rPr>
      <t>：项目设置独立的浸漆房，工件根据产品需求浸泡绝缘漆后进行干燥。浸漆使用绝缘漆和稀释剂，根据建设单位提供的成分性质，绝缘漆有机废气挥发量取</t>
    </r>
    <r>
      <rPr>
        <sz val="10.5"/>
        <color rgb="FF000000"/>
        <rFont val="Times New Roman"/>
        <family val="1"/>
      </rPr>
      <t>30%</t>
    </r>
    <r>
      <rPr>
        <sz val="10.5"/>
        <color rgb="FF000000"/>
        <rFont val="宋体"/>
        <family val="3"/>
        <charset val="134"/>
      </rPr>
      <t>，稀释剂有机废气挥发量取</t>
    </r>
    <r>
      <rPr>
        <sz val="10.5"/>
        <color rgb="FF000000"/>
        <rFont val="Times New Roman"/>
        <family val="1"/>
      </rPr>
      <t>100%</t>
    </r>
    <r>
      <rPr>
        <sz val="10.5"/>
        <color rgb="FF000000"/>
        <rFont val="宋体"/>
        <family val="3"/>
        <charset val="134"/>
      </rPr>
      <t>。</t>
    </r>
    <r>
      <rPr>
        <sz val="10.5"/>
        <color rgb="FFFF0000"/>
        <rFont val="宋体"/>
        <family val="3"/>
        <charset val="134"/>
      </rPr>
      <t>绝缘漆用量为</t>
    </r>
    <r>
      <rPr>
        <sz val="10.5"/>
        <color rgb="FFFF0000"/>
        <rFont val="Times New Roman"/>
        <family val="1"/>
      </rPr>
      <t>2</t>
    </r>
    <r>
      <rPr>
        <sz val="10.5"/>
        <color rgb="FFFF0000"/>
        <rFont val="宋体"/>
        <family val="3"/>
        <charset val="134"/>
      </rPr>
      <t>吨</t>
    </r>
    <r>
      <rPr>
        <sz val="10.5"/>
        <color rgb="FFFF0000"/>
        <rFont val="Times New Roman"/>
        <family val="1"/>
      </rPr>
      <t>/</t>
    </r>
    <r>
      <rPr>
        <sz val="10.5"/>
        <color rgb="FFFF0000"/>
        <rFont val="宋体"/>
        <family val="3"/>
        <charset val="134"/>
      </rPr>
      <t>年，稀释剂用量为</t>
    </r>
    <r>
      <rPr>
        <sz val="10.5"/>
        <color rgb="FFFF0000"/>
        <rFont val="Times New Roman"/>
        <family val="1"/>
      </rPr>
      <t>0.3</t>
    </r>
    <r>
      <rPr>
        <sz val="10.5"/>
        <color rgb="FFFF0000"/>
        <rFont val="宋体"/>
        <family val="3"/>
        <charset val="134"/>
      </rPr>
      <t>吨</t>
    </r>
    <r>
      <rPr>
        <sz val="10.5"/>
        <color rgb="FFFF0000"/>
        <rFont val="Times New Roman"/>
        <family val="1"/>
      </rPr>
      <t>/</t>
    </r>
    <r>
      <rPr>
        <sz val="10.5"/>
        <color rgb="FFFF0000"/>
        <rFont val="宋体"/>
        <family val="3"/>
        <charset val="134"/>
      </rPr>
      <t>年，则浸漆工序</t>
    </r>
    <r>
      <rPr>
        <sz val="10.5"/>
        <color rgb="FFFF0000"/>
        <rFont val="Times New Roman"/>
        <family val="1"/>
      </rPr>
      <t>VOCs</t>
    </r>
    <r>
      <rPr>
        <sz val="10.5"/>
        <color rgb="FFFF0000"/>
        <rFont val="宋体"/>
        <family val="3"/>
        <charset val="134"/>
      </rPr>
      <t>产生量为</t>
    </r>
    <r>
      <rPr>
        <sz val="10.5"/>
        <color rgb="FFFF0000"/>
        <rFont val="Times New Roman"/>
        <family val="1"/>
      </rPr>
      <t>0.9t/a</t>
    </r>
    <r>
      <rPr>
        <sz val="10.5"/>
        <color rgb="FFFF0000"/>
        <rFont val="宋体"/>
        <family val="3"/>
        <charset val="134"/>
      </rPr>
      <t>。</t>
    </r>
    <r>
      <rPr>
        <sz val="10.5"/>
        <color rgb="FF000000"/>
        <rFont val="Times New Roman"/>
        <family val="1"/>
      </rPr>
      <t xml:space="preserve">
</t>
    </r>
    <r>
      <rPr>
        <sz val="10.5"/>
        <color rgb="FF000000"/>
        <rFont val="宋体"/>
        <family val="3"/>
        <charset val="134"/>
      </rPr>
      <t>项目拟将浸漆的废气收集后利用</t>
    </r>
    <r>
      <rPr>
        <sz val="10.5"/>
        <color rgb="FF000000"/>
        <rFont val="Times New Roman"/>
        <family val="1"/>
      </rPr>
      <t>“</t>
    </r>
    <r>
      <rPr>
        <sz val="10.5"/>
        <color rgb="FF000000"/>
        <rFont val="宋体"/>
        <family val="3"/>
        <charset val="134"/>
      </rPr>
      <t>低温等离子</t>
    </r>
    <r>
      <rPr>
        <sz val="10.5"/>
        <color rgb="FF000000"/>
        <rFont val="Times New Roman"/>
        <family val="1"/>
      </rPr>
      <t>+UV</t>
    </r>
    <r>
      <rPr>
        <sz val="10.5"/>
        <color rgb="FF000000"/>
        <rFont val="宋体"/>
        <family val="3"/>
        <charset val="134"/>
      </rPr>
      <t>光解</t>
    </r>
    <r>
      <rPr>
        <sz val="10.5"/>
        <color rgb="FF000000"/>
        <rFont val="Times New Roman"/>
        <family val="1"/>
      </rPr>
      <t>”</t>
    </r>
    <r>
      <rPr>
        <sz val="10.5"/>
        <color rgb="FF000000"/>
        <rFont val="宋体"/>
        <family val="3"/>
        <charset val="134"/>
      </rPr>
      <t>处理设施处理，最后通过不低于</t>
    </r>
    <r>
      <rPr>
        <sz val="10.5"/>
        <color rgb="FF000000"/>
        <rFont val="Times New Roman"/>
        <family val="1"/>
      </rPr>
      <t>15m</t>
    </r>
    <r>
      <rPr>
        <sz val="10.5"/>
        <color rgb="FF000000"/>
        <rFont val="宋体"/>
        <family val="3"/>
        <charset val="134"/>
      </rPr>
      <t>的排气筒（</t>
    </r>
    <r>
      <rPr>
        <sz val="10.5"/>
        <color rgb="FF000000"/>
        <rFont val="Times New Roman"/>
        <family val="1"/>
      </rPr>
      <t>1#</t>
    </r>
    <r>
      <rPr>
        <sz val="10.5"/>
        <color rgb="FF000000"/>
        <rFont val="宋体"/>
        <family val="3"/>
        <charset val="134"/>
      </rPr>
      <t>）排放，收集效率为</t>
    </r>
    <r>
      <rPr>
        <sz val="10.5"/>
        <color rgb="FF000000"/>
        <rFont val="Times New Roman"/>
        <family val="1"/>
      </rPr>
      <t>90%</t>
    </r>
    <r>
      <rPr>
        <sz val="10.5"/>
        <color rgb="FF000000"/>
        <rFont val="宋体"/>
        <family val="3"/>
        <charset val="134"/>
      </rPr>
      <t>，处理效率为</t>
    </r>
    <r>
      <rPr>
        <sz val="10.5"/>
        <color rgb="FF000000"/>
        <rFont val="Times New Roman"/>
        <family val="1"/>
      </rPr>
      <t>90%</t>
    </r>
    <r>
      <rPr>
        <sz val="10.5"/>
        <color rgb="FF000000"/>
        <rFont val="宋体"/>
        <family val="3"/>
        <charset val="134"/>
      </rPr>
      <t>，排气筒建议风量为</t>
    </r>
    <r>
      <rPr>
        <sz val="10.5"/>
        <color rgb="FF000000"/>
        <rFont val="Times New Roman"/>
        <family val="1"/>
      </rPr>
      <t>10000 m3/h</t>
    </r>
    <r>
      <rPr>
        <sz val="10.5"/>
        <color rgb="FF000000"/>
        <rFont val="宋体"/>
        <family val="3"/>
        <charset val="134"/>
      </rPr>
      <t>。以上工序每天连续运行</t>
    </r>
    <r>
      <rPr>
        <sz val="10.5"/>
        <color rgb="FF000000"/>
        <rFont val="Times New Roman"/>
        <family val="1"/>
      </rPr>
      <t>6</t>
    </r>
    <r>
      <rPr>
        <sz val="10.5"/>
        <color rgb="FF000000"/>
        <rFont val="宋体"/>
        <family val="3"/>
        <charset val="134"/>
      </rPr>
      <t>小时，核算浸漆废气的产生及排放情况见下表</t>
    </r>
    <r>
      <rPr>
        <sz val="10.5"/>
        <color rgb="FF000000"/>
        <rFont val="Times New Roman"/>
        <family val="1"/>
      </rPr>
      <t xml:space="preserve">
</t>
    </r>
    <r>
      <rPr>
        <sz val="10.5"/>
        <color rgb="FF000000"/>
        <rFont val="宋体"/>
        <family val="3"/>
        <charset val="134"/>
      </rPr>
      <t>。</t>
    </r>
  </si>
  <si>
    <r>
      <t>浸漆及干燥过程产生的</t>
    </r>
    <r>
      <rPr>
        <sz val="10.5"/>
        <color theme="1"/>
        <rFont val="Times New Roman"/>
        <family val="1"/>
      </rPr>
      <t>VOCs</t>
    </r>
    <r>
      <rPr>
        <sz val="10.5"/>
        <color theme="1"/>
        <rFont val="宋体"/>
        <family val="3"/>
        <charset val="134"/>
      </rPr>
      <t>：项目设置独立的浸漆房，工件根据产品需求浸泡绝缘漆后进行干燥。浸漆使用绝缘漆和稀释剂。</t>
    </r>
    <r>
      <rPr>
        <sz val="10.5"/>
        <color theme="1"/>
        <rFont val="Times New Roman"/>
        <family val="1"/>
      </rPr>
      <t xml:space="preserve">
</t>
    </r>
    <r>
      <rPr>
        <sz val="10.5"/>
        <color theme="1"/>
        <rFont val="宋体"/>
        <family val="3"/>
        <charset val="134"/>
      </rPr>
      <t>项目拟将以上废气收集后利用</t>
    </r>
    <r>
      <rPr>
        <sz val="10.5"/>
        <color theme="1"/>
        <rFont val="Times New Roman"/>
        <family val="1"/>
      </rPr>
      <t>“</t>
    </r>
    <r>
      <rPr>
        <sz val="10.5"/>
        <color theme="1"/>
        <rFont val="宋体"/>
        <family val="3"/>
        <charset val="134"/>
      </rPr>
      <t>低温等离子</t>
    </r>
    <r>
      <rPr>
        <sz val="10.5"/>
        <color theme="1"/>
        <rFont val="Times New Roman"/>
        <family val="1"/>
      </rPr>
      <t>+UV</t>
    </r>
    <r>
      <rPr>
        <sz val="10.5"/>
        <color theme="1"/>
        <rFont val="宋体"/>
        <family val="3"/>
        <charset val="134"/>
      </rPr>
      <t>光解</t>
    </r>
    <r>
      <rPr>
        <sz val="10.5"/>
        <color theme="1"/>
        <rFont val="Times New Roman"/>
        <family val="1"/>
      </rPr>
      <t>”</t>
    </r>
    <r>
      <rPr>
        <sz val="10.5"/>
        <color theme="1"/>
        <rFont val="宋体"/>
        <family val="3"/>
        <charset val="134"/>
      </rPr>
      <t>处理设施处理，最后通过不低于</t>
    </r>
    <r>
      <rPr>
        <sz val="10.5"/>
        <color theme="1"/>
        <rFont val="Times New Roman"/>
        <family val="1"/>
      </rPr>
      <t>15m</t>
    </r>
    <r>
      <rPr>
        <sz val="10.5"/>
        <color theme="1"/>
        <rFont val="宋体"/>
        <family val="3"/>
        <charset val="134"/>
      </rPr>
      <t>的排气筒（</t>
    </r>
    <r>
      <rPr>
        <sz val="10.5"/>
        <color theme="1"/>
        <rFont val="Times New Roman"/>
        <family val="1"/>
      </rPr>
      <t>1#</t>
    </r>
    <r>
      <rPr>
        <sz val="10.5"/>
        <color theme="1"/>
        <rFont val="宋体"/>
        <family val="3"/>
        <charset val="134"/>
      </rPr>
      <t>）排放，收集效率为</t>
    </r>
    <r>
      <rPr>
        <sz val="10.5"/>
        <color theme="1"/>
        <rFont val="Times New Roman"/>
        <family val="1"/>
      </rPr>
      <t>90%</t>
    </r>
    <r>
      <rPr>
        <sz val="10.5"/>
        <color theme="1"/>
        <rFont val="宋体"/>
        <family val="3"/>
        <charset val="134"/>
      </rPr>
      <t>，处理效率为</t>
    </r>
    <r>
      <rPr>
        <sz val="10.5"/>
        <color theme="1"/>
        <rFont val="Times New Roman"/>
        <family val="1"/>
      </rPr>
      <t>90%</t>
    </r>
    <r>
      <rPr>
        <sz val="10.5"/>
        <color theme="1"/>
        <rFont val="宋体"/>
        <family val="3"/>
        <charset val="134"/>
      </rPr>
      <t>，排气筒建议风量为</t>
    </r>
    <r>
      <rPr>
        <sz val="10.5"/>
        <color theme="1"/>
        <rFont val="Times New Roman"/>
        <family val="1"/>
      </rPr>
      <t>10000 m</t>
    </r>
    <r>
      <rPr>
        <vertAlign val="superscript"/>
        <sz val="10.5"/>
        <color theme="1"/>
        <rFont val="Times New Roman"/>
        <family val="1"/>
      </rPr>
      <t>3</t>
    </r>
    <r>
      <rPr>
        <sz val="10.5"/>
        <color theme="1"/>
        <rFont val="Times New Roman"/>
        <family val="1"/>
      </rPr>
      <t>/h</t>
    </r>
    <r>
      <rPr>
        <sz val="10.5"/>
        <color theme="1"/>
        <rFont val="宋体"/>
        <family val="3"/>
        <charset val="134"/>
      </rPr>
      <t>。以上工序每天连续运行</t>
    </r>
    <r>
      <rPr>
        <sz val="10.5"/>
        <color theme="1"/>
        <rFont val="Times New Roman"/>
        <family val="1"/>
      </rPr>
      <t>6</t>
    </r>
    <r>
      <rPr>
        <sz val="10.5"/>
        <color theme="1"/>
        <rFont val="宋体"/>
        <family val="3"/>
        <charset val="134"/>
      </rPr>
      <t>小时，年工作</t>
    </r>
    <r>
      <rPr>
        <sz val="10.5"/>
        <color theme="1"/>
        <rFont val="Times New Roman"/>
        <family val="1"/>
      </rPr>
      <t>300</t>
    </r>
    <r>
      <rPr>
        <sz val="10.5"/>
        <color theme="1"/>
        <rFont val="宋体"/>
        <family val="3"/>
        <charset val="134"/>
      </rPr>
      <t>天。</t>
    </r>
    <r>
      <rPr>
        <sz val="10.5"/>
        <color theme="1"/>
        <rFont val="Times New Roman"/>
        <family val="1"/>
      </rPr>
      <t xml:space="preserve">
</t>
    </r>
    <r>
      <rPr>
        <sz val="10.5"/>
        <color theme="1"/>
        <rFont val="宋体"/>
        <family val="3"/>
        <charset val="134"/>
      </rPr>
      <t>根据《</t>
    </r>
    <r>
      <rPr>
        <sz val="10.5"/>
        <color theme="1"/>
        <rFont val="Times New Roman"/>
        <family val="1"/>
      </rPr>
      <t>2013</t>
    </r>
    <r>
      <rPr>
        <sz val="10.5"/>
        <color theme="1"/>
        <rFont val="宋体"/>
        <family val="3"/>
        <charset val="134"/>
      </rPr>
      <t>年国家先进污染防治示范技术名录》，</t>
    </r>
    <r>
      <rPr>
        <sz val="10.5"/>
        <color theme="1"/>
        <rFont val="Times New Roman"/>
        <family val="1"/>
      </rPr>
      <t>“</t>
    </r>
    <r>
      <rPr>
        <sz val="10.5"/>
        <color theme="1"/>
        <rFont val="宋体"/>
        <family val="3"/>
        <charset val="134"/>
      </rPr>
      <t>低温等离子</t>
    </r>
    <r>
      <rPr>
        <sz val="10.5"/>
        <color theme="1"/>
        <rFont val="Times New Roman"/>
        <family val="1"/>
      </rPr>
      <t>”</t>
    </r>
    <r>
      <rPr>
        <sz val="10.5"/>
        <color theme="1"/>
        <rFont val="宋体"/>
        <family val="3"/>
        <charset val="134"/>
      </rPr>
      <t>技术使用于化工、印刷、轻工、制药、家具等行业，属于国家先进的污染防治示范技术。低温等离子废气处理设施原理为：等离子体是指处于电离状态的气态物质，它是由大量带电粒子和中性粒子所组成。含</t>
    </r>
    <r>
      <rPr>
        <sz val="10.5"/>
        <color theme="1"/>
        <rFont val="Times New Roman"/>
        <family val="1"/>
      </rPr>
      <t>VOCs</t>
    </r>
    <r>
      <rPr>
        <sz val="10.5"/>
        <color theme="1"/>
        <rFont val="宋体"/>
        <family val="3"/>
        <charset val="134"/>
      </rPr>
      <t>的废气通过设备时，通过气体放电或加热方法从外界获得足够能量，能使气体分子或原子中轨道所束缚的电子变为自由电子，即形成等离子体。气体分子在极强的交流电场中被激发，此时气体分子相当于加热到几千摄氏度，而实际上温度并无变化，称为低温等离子体。经低温等离子体处理后，废气被分解成</t>
    </r>
    <r>
      <rPr>
        <sz val="10.5"/>
        <color theme="1"/>
        <rFont val="Times New Roman"/>
        <family val="1"/>
      </rPr>
      <t>CO</t>
    </r>
    <r>
      <rPr>
        <vertAlign val="subscript"/>
        <sz val="10.5"/>
        <color theme="1"/>
        <rFont val="Times New Roman"/>
        <family val="1"/>
      </rPr>
      <t>2</t>
    </r>
    <r>
      <rPr>
        <sz val="10.5"/>
        <color theme="1"/>
        <rFont val="宋体"/>
        <family val="3"/>
        <charset val="134"/>
      </rPr>
      <t>和</t>
    </r>
    <r>
      <rPr>
        <sz val="10.5"/>
        <color theme="1"/>
        <rFont val="Times New Roman"/>
        <family val="1"/>
      </rPr>
      <t>H</t>
    </r>
    <r>
      <rPr>
        <vertAlign val="subscript"/>
        <sz val="10.5"/>
        <color theme="1"/>
        <rFont val="Times New Roman"/>
        <family val="1"/>
      </rPr>
      <t>2</t>
    </r>
    <r>
      <rPr>
        <sz val="10.5"/>
        <color theme="1"/>
        <rFont val="Times New Roman"/>
        <family val="1"/>
      </rPr>
      <t>O</t>
    </r>
    <r>
      <rPr>
        <sz val="10.5"/>
        <color theme="1"/>
        <rFont val="宋体"/>
        <family val="3"/>
        <charset val="134"/>
      </rPr>
      <t>。</t>
    </r>
    <r>
      <rPr>
        <sz val="10.5"/>
        <color theme="1"/>
        <rFont val="Times New Roman"/>
        <family val="1"/>
      </rPr>
      <t xml:space="preserve">
</t>
    </r>
    <r>
      <rPr>
        <sz val="10.5"/>
        <color theme="1"/>
        <rFont val="宋体"/>
        <family val="3"/>
        <charset val="134"/>
      </rPr>
      <t>参考同类项目，</t>
    </r>
    <r>
      <rPr>
        <sz val="10.5"/>
        <color theme="1"/>
        <rFont val="Times New Roman"/>
        <family val="1"/>
      </rPr>
      <t>UV</t>
    </r>
    <r>
      <rPr>
        <sz val="10.5"/>
        <color theme="1"/>
        <rFont val="宋体"/>
        <family val="3"/>
        <charset val="134"/>
      </rPr>
      <t>光解对</t>
    </r>
    <r>
      <rPr>
        <sz val="10.5"/>
        <color theme="1"/>
        <rFont val="Times New Roman"/>
        <family val="1"/>
      </rPr>
      <t>VOCs</t>
    </r>
    <r>
      <rPr>
        <sz val="10.5"/>
        <color theme="1"/>
        <rFont val="宋体"/>
        <family val="3"/>
        <charset val="134"/>
      </rPr>
      <t>净化效率为</t>
    </r>
    <r>
      <rPr>
        <sz val="10.5"/>
        <color theme="1"/>
        <rFont val="Times New Roman"/>
        <family val="1"/>
      </rPr>
      <t>70%</t>
    </r>
    <r>
      <rPr>
        <sz val="10.5"/>
        <color theme="1"/>
        <rFont val="宋体"/>
        <family val="3"/>
        <charset val="134"/>
      </rPr>
      <t>。低温等离子处理工艺中，有些分子只是降解而未被彻底氧化，可能产生二次污染，在保证停留时间和能耗的情况下，产生的二次</t>
    </r>
    <r>
      <rPr>
        <sz val="10.5"/>
        <color theme="1"/>
        <rFont val="Times New Roman"/>
        <family val="1"/>
      </rPr>
      <t>VOCs</t>
    </r>
    <r>
      <rPr>
        <sz val="10.5"/>
        <color theme="1"/>
        <rFont val="宋体"/>
        <family val="3"/>
        <charset val="134"/>
      </rPr>
      <t>污染较小，即使产生少量二次</t>
    </r>
    <r>
      <rPr>
        <sz val="10.5"/>
        <color theme="1"/>
        <rFont val="Times New Roman"/>
        <family val="1"/>
      </rPr>
      <t>VOCs</t>
    </r>
    <r>
      <rPr>
        <sz val="10.5"/>
        <color theme="1"/>
        <rFont val="宋体"/>
        <family val="3"/>
        <charset val="134"/>
      </rPr>
      <t>污染，也能在后续的第二级</t>
    </r>
    <r>
      <rPr>
        <sz val="10.5"/>
        <color theme="1"/>
        <rFont val="Times New Roman"/>
        <family val="1"/>
      </rPr>
      <t>UV</t>
    </r>
    <r>
      <rPr>
        <sz val="10.5"/>
        <color theme="1"/>
        <rFont val="宋体"/>
        <family val="3"/>
        <charset val="134"/>
      </rPr>
      <t>光解设施中得到处理。</t>
    </r>
    <r>
      <rPr>
        <sz val="10.5"/>
        <color theme="1"/>
        <rFont val="Times New Roman"/>
        <family val="1"/>
      </rPr>
      <t xml:space="preserve">
</t>
    </r>
    <r>
      <rPr>
        <sz val="10.5"/>
        <color theme="1"/>
        <rFont val="宋体"/>
        <family val="3"/>
        <charset val="134"/>
      </rPr>
      <t>参考《广东省印刷行业挥发性有机化合物废气治理技术指南》，处理每</t>
    </r>
    <r>
      <rPr>
        <sz val="10.5"/>
        <color theme="1"/>
        <rFont val="Times New Roman"/>
        <family val="1"/>
      </rPr>
      <t>10000m</t>
    </r>
    <r>
      <rPr>
        <vertAlign val="superscript"/>
        <sz val="10.5"/>
        <color theme="1"/>
        <rFont val="Times New Roman"/>
        <family val="1"/>
      </rPr>
      <t>3</t>
    </r>
    <r>
      <rPr>
        <sz val="10.5"/>
        <color theme="1"/>
        <rFont val="Times New Roman"/>
        <family val="1"/>
      </rPr>
      <t>/h</t>
    </r>
    <r>
      <rPr>
        <sz val="10.5"/>
        <color theme="1"/>
        <rFont val="宋体"/>
        <family val="3"/>
        <charset val="134"/>
      </rPr>
      <t>风量的废气，低温等离子体治理设施的功率为</t>
    </r>
    <r>
      <rPr>
        <sz val="10.5"/>
        <color theme="1"/>
        <rFont val="Times New Roman"/>
        <family val="1"/>
      </rPr>
      <t>20</t>
    </r>
    <r>
      <rPr>
        <sz val="10.5"/>
        <color theme="1"/>
        <rFont val="宋体"/>
        <family val="3"/>
        <charset val="134"/>
      </rPr>
      <t>～</t>
    </r>
    <r>
      <rPr>
        <sz val="10.5"/>
        <color theme="1"/>
        <rFont val="Times New Roman"/>
        <family val="1"/>
      </rPr>
      <t>50KW</t>
    </r>
    <r>
      <rPr>
        <sz val="10.5"/>
        <color theme="1"/>
        <rFont val="宋体"/>
        <family val="3"/>
        <charset val="134"/>
      </rPr>
      <t>；要求项目保证低温等离子处理的停留时间为</t>
    </r>
    <r>
      <rPr>
        <sz val="10.5"/>
        <color theme="1"/>
        <rFont val="Times New Roman"/>
        <family val="1"/>
      </rPr>
      <t>1</t>
    </r>
    <r>
      <rPr>
        <sz val="10.5"/>
        <color theme="1"/>
        <rFont val="宋体"/>
        <family val="3"/>
        <charset val="134"/>
      </rPr>
      <t>～</t>
    </r>
    <r>
      <rPr>
        <sz val="10.5"/>
        <color theme="1"/>
        <rFont val="Times New Roman"/>
        <family val="1"/>
      </rPr>
      <t>2s</t>
    </r>
    <r>
      <rPr>
        <sz val="10.5"/>
        <color theme="1"/>
        <rFont val="宋体"/>
        <family val="3"/>
        <charset val="134"/>
      </rPr>
      <t>或以上，且治理设施功率为</t>
    </r>
    <r>
      <rPr>
        <sz val="10.5"/>
        <color theme="1"/>
        <rFont val="Times New Roman"/>
        <family val="1"/>
      </rPr>
      <t>30</t>
    </r>
    <r>
      <rPr>
        <sz val="10.5"/>
        <color theme="1"/>
        <rFont val="宋体"/>
        <family val="3"/>
        <charset val="134"/>
      </rPr>
      <t>～</t>
    </r>
    <r>
      <rPr>
        <sz val="10.5"/>
        <color theme="1"/>
        <rFont val="Times New Roman"/>
        <family val="1"/>
      </rPr>
      <t>75KW</t>
    </r>
    <r>
      <rPr>
        <sz val="10.5"/>
        <color theme="1"/>
        <rFont val="宋体"/>
        <family val="3"/>
        <charset val="134"/>
      </rPr>
      <t>。在保证能耗和停留时间的条件下，可以保证低温等离子处理效率不低于</t>
    </r>
    <r>
      <rPr>
        <sz val="10.5"/>
        <color theme="1"/>
        <rFont val="Times New Roman"/>
        <family val="1"/>
      </rPr>
      <t>70%</t>
    </r>
    <r>
      <rPr>
        <sz val="10.5"/>
        <color theme="1"/>
        <rFont val="宋体"/>
        <family val="3"/>
        <charset val="134"/>
      </rPr>
      <t>，本项目选用的低温等离子设备能够满足处理工艺的要求。</t>
    </r>
    <r>
      <rPr>
        <sz val="10.5"/>
        <color theme="1"/>
        <rFont val="Times New Roman"/>
        <family val="1"/>
      </rPr>
      <t>“</t>
    </r>
    <r>
      <rPr>
        <sz val="10.5"/>
        <color theme="1"/>
        <rFont val="宋体"/>
        <family val="3"/>
        <charset val="134"/>
      </rPr>
      <t>低温等离子</t>
    </r>
    <r>
      <rPr>
        <sz val="10.5"/>
        <color theme="1"/>
        <rFont val="Times New Roman"/>
        <family val="1"/>
      </rPr>
      <t>”</t>
    </r>
    <r>
      <rPr>
        <sz val="10.5"/>
        <color theme="1"/>
        <rFont val="宋体"/>
        <family val="3"/>
        <charset val="134"/>
      </rPr>
      <t>和</t>
    </r>
    <r>
      <rPr>
        <sz val="10.5"/>
        <color theme="1"/>
        <rFont val="Times New Roman"/>
        <family val="1"/>
      </rPr>
      <t>“UV</t>
    </r>
    <r>
      <rPr>
        <sz val="10.5"/>
        <color theme="1"/>
        <rFont val="宋体"/>
        <family val="3"/>
        <charset val="134"/>
      </rPr>
      <t>光解</t>
    </r>
    <r>
      <rPr>
        <sz val="10.5"/>
        <color theme="1"/>
        <rFont val="Times New Roman"/>
        <family val="1"/>
      </rPr>
      <t>”</t>
    </r>
    <r>
      <rPr>
        <sz val="10.5"/>
        <color theme="1"/>
        <rFont val="宋体"/>
        <family val="3"/>
        <charset val="134"/>
      </rPr>
      <t>均为较成熟的处理有机废气的方法，正逐渐被越来越多的企业采用。</t>
    </r>
    <r>
      <rPr>
        <sz val="10.5"/>
        <color theme="1"/>
        <rFont val="Times New Roman"/>
        <family val="1"/>
      </rPr>
      <t xml:space="preserve">
</t>
    </r>
    <r>
      <rPr>
        <sz val="10.5"/>
        <color theme="1"/>
        <rFont val="宋体"/>
        <family val="3"/>
        <charset val="134"/>
      </rPr>
      <t>根据工程分析核算，</t>
    </r>
    <r>
      <rPr>
        <sz val="10.5"/>
        <color rgb="FFFF0000"/>
        <rFont val="宋体"/>
        <family val="3"/>
        <charset val="134"/>
      </rPr>
      <t>项目排气筒</t>
    </r>
    <r>
      <rPr>
        <sz val="10.5"/>
        <color rgb="FFFF0000"/>
        <rFont val="Times New Roman"/>
        <family val="1"/>
      </rPr>
      <t xml:space="preserve"> VOCs</t>
    </r>
    <r>
      <rPr>
        <sz val="10.5"/>
        <color rgb="FFFF0000"/>
        <rFont val="宋体"/>
        <family val="3"/>
        <charset val="134"/>
      </rPr>
      <t>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0.003mg/m3</t>
    </r>
    <r>
      <rPr>
        <sz val="10.5"/>
        <color theme="1"/>
        <rFont val="宋体"/>
        <family val="3"/>
        <charset val="134"/>
      </rPr>
      <t>。有组织排放和无组织排放均满足《家具制造行业挥发性有机化合物排放标准》（</t>
    </r>
    <r>
      <rPr>
        <sz val="10.5"/>
        <color theme="1"/>
        <rFont val="Times New Roman"/>
        <family val="1"/>
      </rPr>
      <t>DB44/814-2010</t>
    </r>
    <r>
      <rPr>
        <sz val="10.5"/>
        <color theme="1"/>
        <rFont val="宋体"/>
        <family val="3"/>
        <charset val="134"/>
      </rPr>
      <t>）第Ⅱ时段标准，对周围环境影响不大。</t>
    </r>
  </si>
  <si>
    <r>
      <t>废气收集后经</t>
    </r>
    <r>
      <rPr>
        <sz val="10.5"/>
        <color rgb="FFFF0000"/>
        <rFont val="Times New Roman"/>
        <family val="1"/>
      </rPr>
      <t>“</t>
    </r>
    <r>
      <rPr>
        <sz val="10.5"/>
        <color rgb="FFFF0000"/>
        <rFont val="宋体"/>
        <family val="3"/>
        <charset val="134"/>
      </rPr>
      <t>等离子</t>
    </r>
    <r>
      <rPr>
        <sz val="10.5"/>
        <color rgb="FFFF0000"/>
        <rFont val="Times New Roman"/>
        <family val="1"/>
      </rPr>
      <t>+UV</t>
    </r>
    <r>
      <rPr>
        <sz val="10.5"/>
        <color rgb="FFFF0000"/>
        <rFont val="宋体"/>
        <family val="3"/>
        <charset val="134"/>
      </rPr>
      <t>光解</t>
    </r>
    <r>
      <rPr>
        <sz val="10.5"/>
        <color rgb="FFFF0000"/>
        <rFont val="Times New Roman"/>
        <family val="1"/>
      </rPr>
      <t>”</t>
    </r>
    <r>
      <rPr>
        <sz val="10.5"/>
        <color theme="1"/>
        <rFont val="宋体"/>
        <family val="3"/>
        <charset val="134"/>
      </rPr>
      <t>处理达标后通过不低于</t>
    </r>
    <r>
      <rPr>
        <sz val="10.5"/>
        <color theme="1"/>
        <rFont val="Times New Roman"/>
        <family val="1"/>
      </rPr>
      <t>15</t>
    </r>
    <r>
      <rPr>
        <sz val="10.5"/>
        <color theme="1"/>
        <rFont val="宋体"/>
        <family val="3"/>
        <charset val="134"/>
      </rPr>
      <t>米的排气筒排放</t>
    </r>
  </si>
  <si>
    <t>浸漆</t>
  </si>
  <si>
    <t>红胶</t>
  </si>
  <si>
    <t>点胶</t>
  </si>
  <si>
    <t>点胶废气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</si>
  <si>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排放企业整治方案的通知》，点红胶有机废气参照执行《家具制造行业挥发性有机化合物排放标准》（</t>
    </r>
    <r>
      <rPr>
        <sz val="10.5"/>
        <color theme="1"/>
        <rFont val="Times New Roman"/>
        <family val="1"/>
      </rPr>
      <t>DB44/814-2010</t>
    </r>
    <r>
      <rPr>
        <sz val="10.5"/>
        <color theme="1"/>
        <rFont val="宋体"/>
        <family val="3"/>
        <charset val="134"/>
      </rPr>
      <t>）标准。</t>
    </r>
  </si>
  <si>
    <r>
      <t>项目使用环氧树脂胶进行点胶。</t>
    </r>
    <r>
      <rPr>
        <sz val="10.5"/>
        <color rgb="FFFF0000"/>
        <rFont val="宋体"/>
        <family val="3"/>
        <charset val="134"/>
      </rPr>
      <t>参考双酚</t>
    </r>
    <r>
      <rPr>
        <sz val="10.5"/>
        <color rgb="FFFF0000"/>
        <rFont val="Times New Roman"/>
        <family val="1"/>
      </rPr>
      <t>A</t>
    </r>
    <r>
      <rPr>
        <sz val="10.5"/>
        <color rgb="FFFF0000"/>
        <rFont val="宋体"/>
        <family val="3"/>
        <charset val="134"/>
      </rPr>
      <t>型环氧树脂的国家标准</t>
    </r>
    <r>
      <rPr>
        <sz val="10.5"/>
        <color rgb="FFFF0000"/>
        <rFont val="Times New Roman"/>
        <family val="1"/>
      </rPr>
      <t>GB13657-92</t>
    </r>
    <r>
      <rPr>
        <sz val="10.5"/>
        <color rgb="FFFF0000"/>
        <rFont val="宋体"/>
        <family val="3"/>
        <charset val="134"/>
      </rPr>
      <t>，</t>
    </r>
    <r>
      <rPr>
        <sz val="10.5"/>
        <color theme="1"/>
        <rFont val="宋体"/>
        <family val="3"/>
        <charset val="134"/>
      </rPr>
      <t>双酚</t>
    </r>
    <r>
      <rPr>
        <sz val="10.5"/>
        <color theme="1"/>
        <rFont val="Times New Roman"/>
        <family val="1"/>
      </rPr>
      <t>A</t>
    </r>
    <r>
      <rPr>
        <sz val="10.5"/>
        <color theme="1"/>
        <rFont val="宋体"/>
        <family val="3"/>
        <charset val="134"/>
      </rPr>
      <t>型环氧树脂的挥发分要求不大于</t>
    </r>
    <r>
      <rPr>
        <sz val="10.5"/>
        <color theme="1"/>
        <rFont val="Times New Roman"/>
        <family val="1"/>
      </rPr>
      <t>1.8%</t>
    </r>
    <r>
      <rPr>
        <sz val="10.5"/>
        <color theme="1"/>
        <rFont val="宋体"/>
        <family val="3"/>
        <charset val="134"/>
      </rPr>
      <t>。则环氧树脂胶的挥发量按</t>
    </r>
    <r>
      <rPr>
        <sz val="10.5"/>
        <color theme="1"/>
        <rFont val="Times New Roman"/>
        <family val="1"/>
      </rPr>
      <t>1.8%</t>
    </r>
    <r>
      <rPr>
        <sz val="10.5"/>
        <color theme="1"/>
        <rFont val="宋体"/>
        <family val="3"/>
        <charset val="134"/>
      </rPr>
      <t>核算。废气收集后通过</t>
    </r>
    <r>
      <rPr>
        <sz val="10.5"/>
        <color theme="1"/>
        <rFont val="Times New Roman"/>
        <family val="1"/>
      </rPr>
      <t>15m</t>
    </r>
    <r>
      <rPr>
        <sz val="10.5"/>
        <color theme="1"/>
        <rFont val="宋体"/>
        <family val="3"/>
        <charset val="134"/>
      </rPr>
      <t>排气筒排放，收集风量约为</t>
    </r>
    <r>
      <rPr>
        <sz val="10.5"/>
        <color theme="1"/>
        <rFont val="Times New Roman"/>
        <family val="1"/>
      </rPr>
      <t>5000m</t>
    </r>
    <r>
      <rPr>
        <vertAlign val="superscript"/>
        <sz val="10.5"/>
        <color theme="1"/>
        <rFont val="Times New Roman"/>
        <family val="1"/>
      </rPr>
      <t>3</t>
    </r>
    <r>
      <rPr>
        <sz val="10.5"/>
        <color theme="1"/>
        <rFont val="Times New Roman"/>
        <family val="1"/>
      </rPr>
      <t>/h</t>
    </r>
    <r>
      <rPr>
        <sz val="10.5"/>
        <color theme="1"/>
        <rFont val="宋体"/>
        <family val="3"/>
        <charset val="134"/>
      </rPr>
      <t>。</t>
    </r>
  </si>
  <si>
    <r>
      <t>项目使用环氧树脂胶进行点胶。环氧树脂胶中的主要成分为环氧改性树脂，但其中可能残留有催化剂、助剂等挥发成分，产生有机废气，污染因子为总</t>
    </r>
    <r>
      <rPr>
        <sz val="10.5"/>
        <color theme="1"/>
        <rFont val="Times New Roman"/>
        <family val="1"/>
      </rPr>
      <t>VOCs</t>
    </r>
    <r>
      <rPr>
        <sz val="10.5"/>
        <color theme="1"/>
        <rFont val="宋体"/>
        <family val="3"/>
        <charset val="134"/>
      </rPr>
      <t>。</t>
    </r>
    <r>
      <rPr>
        <sz val="10.5"/>
        <color rgb="FFFF0000"/>
        <rFont val="宋体"/>
        <family val="3"/>
        <charset val="134"/>
      </rPr>
      <t>经核算，总</t>
    </r>
    <r>
      <rPr>
        <sz val="10.5"/>
        <color rgb="FFFF0000"/>
        <rFont val="Times New Roman"/>
        <family val="1"/>
      </rPr>
      <t>VOCs</t>
    </r>
    <r>
      <rPr>
        <sz val="10.5"/>
        <color rgb="FFFF0000"/>
        <rFont val="宋体"/>
        <family val="3"/>
        <charset val="134"/>
      </rPr>
      <t>的有组织排放量为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。有组织排放和无组织排放均满足《家具制造行业挥发性有机化合物排放标准》（</t>
    </r>
    <r>
      <rPr>
        <sz val="10.5"/>
        <color rgb="FFFF0000"/>
        <rFont val="Times New Roman"/>
        <family val="1"/>
      </rPr>
      <t>DB44/814-2010</t>
    </r>
    <r>
      <rPr>
        <sz val="10.5"/>
        <color rgb="FFFF0000"/>
        <rFont val="宋体"/>
        <family val="3"/>
        <charset val="134"/>
      </rPr>
      <t>）第Ⅱ时段标准，对周围环境影响不大。</t>
    </r>
    <r>
      <rPr>
        <sz val="10.5"/>
        <color theme="1"/>
        <rFont val="宋体"/>
        <family val="3"/>
        <charset val="134"/>
      </rPr>
      <t>建议做好废气的收集工作，对风机及管道定期进行维护和保养，保证收集效率。</t>
    </r>
  </si>
  <si>
    <t>回流焊</t>
  </si>
  <si>
    <t>回流焊废气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</si>
  <si>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排放企业整治方案的通知》，回流焊有机废气参照执行《家具制造行业挥发性有机化合物排放标准》（</t>
    </r>
    <r>
      <rPr>
        <sz val="10.5"/>
        <color theme="1"/>
        <rFont val="Times New Roman"/>
        <family val="1"/>
      </rPr>
      <t>DB44/814-2010</t>
    </r>
    <r>
      <rPr>
        <sz val="10.5"/>
        <color theme="1"/>
        <rFont val="宋体"/>
        <family val="3"/>
        <charset val="134"/>
      </rPr>
      <t>）标准。</t>
    </r>
  </si>
  <si>
    <r>
      <t>回流焊前需先点红胶和贴片。参考双酚A</t>
    </r>
    <r>
      <rPr>
        <sz val="10.5"/>
        <color rgb="FF000000"/>
        <rFont val="宋体"/>
        <family val="3"/>
        <charset val="134"/>
      </rPr>
      <t>型环氧树脂的国家标准</t>
    </r>
    <r>
      <rPr>
        <sz val="10.5"/>
        <color rgb="FF000000"/>
        <rFont val="Times New Roman"/>
        <family val="1"/>
      </rPr>
      <t>GB13657-92</t>
    </r>
    <r>
      <rPr>
        <sz val="10.5"/>
        <color rgb="FF000000"/>
        <rFont val="宋体"/>
        <family val="3"/>
        <charset val="134"/>
      </rPr>
      <t>，双酚</t>
    </r>
    <r>
      <rPr>
        <sz val="10.5"/>
        <color rgb="FF000000"/>
        <rFont val="Times New Roman"/>
        <family val="1"/>
      </rPr>
      <t>A</t>
    </r>
    <r>
      <rPr>
        <sz val="10.5"/>
        <color rgb="FF000000"/>
        <rFont val="宋体"/>
        <family val="3"/>
        <charset val="134"/>
      </rPr>
      <t>型环氧树脂的挥发分要求不大于</t>
    </r>
    <r>
      <rPr>
        <sz val="10.5"/>
        <color rgb="FF000000"/>
        <rFont val="Times New Roman"/>
        <family val="1"/>
      </rPr>
      <t>1.8%</t>
    </r>
    <r>
      <rPr>
        <sz val="10.5"/>
        <color rgb="FF000000"/>
        <rFont val="宋体"/>
        <family val="3"/>
        <charset val="134"/>
      </rPr>
      <t>。则环氧树脂胶的挥发量按</t>
    </r>
    <r>
      <rPr>
        <sz val="10.5"/>
        <color rgb="FF000000"/>
        <rFont val="Times New Roman"/>
        <family val="1"/>
      </rPr>
      <t>1.8%</t>
    </r>
    <r>
      <rPr>
        <sz val="10.5"/>
        <color rgb="FF000000"/>
        <rFont val="宋体"/>
        <family val="3"/>
        <charset val="134"/>
      </rPr>
      <t>核算。则有机废气挥发量按</t>
    </r>
    <r>
      <rPr>
        <sz val="10.5"/>
        <color rgb="FF000000"/>
        <rFont val="Times New Roman"/>
        <family val="1"/>
      </rPr>
      <t>1.8%</t>
    </r>
    <r>
      <rPr>
        <sz val="10.5"/>
        <color rgb="FF000000"/>
        <rFont val="宋体"/>
        <family val="3"/>
        <charset val="134"/>
      </rPr>
      <t>核算。项目年</t>
    </r>
    <r>
      <rPr>
        <sz val="10.5"/>
        <color rgb="FFFF0000"/>
        <rFont val="宋体"/>
        <family val="3"/>
        <charset val="134"/>
      </rPr>
      <t>用红胶</t>
    </r>
    <r>
      <rPr>
        <sz val="10.5"/>
        <color rgb="FFFF0000"/>
        <rFont val="Times New Roman"/>
        <family val="1"/>
      </rPr>
      <t>0.1t</t>
    </r>
    <r>
      <rPr>
        <sz val="10.5"/>
        <color rgb="FFFF0000"/>
        <rFont val="宋体"/>
        <family val="3"/>
        <charset val="134"/>
      </rPr>
      <t>，回流焊有效工作时间为</t>
    </r>
    <r>
      <rPr>
        <sz val="10.5"/>
        <color rgb="FFFF0000"/>
        <rFont val="Times New Roman"/>
        <family val="1"/>
      </rPr>
      <t>4</t>
    </r>
    <r>
      <rPr>
        <sz val="10.5"/>
        <color rgb="FFFF0000"/>
        <rFont val="宋体"/>
        <family val="3"/>
        <charset val="134"/>
      </rPr>
      <t>小时，年工作</t>
    </r>
    <r>
      <rPr>
        <sz val="10.5"/>
        <color rgb="FFFF0000"/>
        <rFont val="Times New Roman"/>
        <family val="1"/>
      </rPr>
      <t>300</t>
    </r>
    <r>
      <rPr>
        <sz val="10.5"/>
        <color rgb="FFFF0000"/>
        <rFont val="宋体"/>
        <family val="3"/>
        <charset val="134"/>
      </rPr>
      <t>天，</t>
    </r>
    <r>
      <rPr>
        <sz val="10.5"/>
        <color rgb="FF000000"/>
        <rFont val="宋体"/>
        <family val="3"/>
        <charset val="134"/>
      </rPr>
      <t>建议将有机废气收集后于</t>
    </r>
    <r>
      <rPr>
        <sz val="10.5"/>
        <color rgb="FF000000"/>
        <rFont val="Times New Roman"/>
        <family val="1"/>
      </rPr>
      <t>15</t>
    </r>
    <r>
      <rPr>
        <sz val="10.5"/>
        <color rgb="FF000000"/>
        <rFont val="宋体"/>
        <family val="3"/>
        <charset val="134"/>
      </rPr>
      <t>米排气筒排放。废气产生</t>
    </r>
    <r>
      <rPr>
        <sz val="10.5"/>
        <color theme="1"/>
        <rFont val="宋体"/>
        <family val="3"/>
        <charset val="134"/>
      </rPr>
      <t>和排放情况如表</t>
    </r>
    <r>
      <rPr>
        <sz val="10.5"/>
        <color theme="1"/>
        <rFont val="Times New Roman"/>
        <family val="1"/>
      </rPr>
      <t>5-1</t>
    </r>
    <r>
      <rPr>
        <sz val="10.5"/>
        <color theme="1"/>
        <rFont val="宋体"/>
        <family val="3"/>
        <charset val="134"/>
      </rPr>
      <t>。</t>
    </r>
  </si>
  <si>
    <r>
      <t>回流焊使用红胶。先将红胶点在</t>
    </r>
    <r>
      <rPr>
        <sz val="10.5"/>
        <color theme="1"/>
        <rFont val="Times New Roman"/>
        <family val="1"/>
      </rPr>
      <t>PCB</t>
    </r>
    <r>
      <rPr>
        <sz val="10.5"/>
        <color theme="1"/>
        <rFont val="宋体"/>
        <family val="3"/>
        <charset val="134"/>
      </rPr>
      <t>板上特定的位置，然后在红胶上放置电子元件，再将</t>
    </r>
    <r>
      <rPr>
        <sz val="10.5"/>
        <color theme="1"/>
        <rFont val="Times New Roman"/>
        <family val="1"/>
      </rPr>
      <t>PCB</t>
    </r>
    <r>
      <rPr>
        <sz val="10.5"/>
        <color theme="1"/>
        <rFont val="宋体"/>
        <family val="3"/>
        <charset val="134"/>
      </rPr>
      <t>板放进回流焊机。回流焊机将空气或氮气加热到足够高的温度后吹向已经贴好元件的线路板，让红胶固化，使电子元件与线路板粘结。红胶中有少量的固化剂，会挥发出有机废气，污染因子为总</t>
    </r>
    <r>
      <rPr>
        <sz val="10.5"/>
        <color theme="1"/>
        <rFont val="Times New Roman"/>
        <family val="1"/>
      </rPr>
      <t>VOCs</t>
    </r>
    <r>
      <rPr>
        <sz val="10.5"/>
        <color theme="1"/>
        <rFont val="宋体"/>
        <family val="3"/>
        <charset val="134"/>
      </rPr>
      <t>。因红胶用量较少，废气挥发量也较少，回流焊过程在密闭的空间中进行，建议将回流焊产生的有机废气收集通过</t>
    </r>
    <r>
      <rPr>
        <sz val="10.5"/>
        <color theme="1"/>
        <rFont val="Times New Roman"/>
        <family val="1"/>
      </rPr>
      <t>15m</t>
    </r>
    <r>
      <rPr>
        <sz val="10.5"/>
        <color theme="1"/>
        <rFont val="宋体"/>
        <family val="3"/>
        <charset val="134"/>
      </rPr>
      <t>排气筒排放。做好废气的收集工作，对风机及管道定期进行维护和保养，保证收集效率。经核算</t>
    </r>
    <r>
      <rPr>
        <sz val="10.5"/>
        <color rgb="FFFF0000"/>
        <rFont val="宋体"/>
        <family val="3"/>
        <charset val="134"/>
      </rPr>
      <t>，有机废气有组织排放量为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。有组织排放和无组织排放均满足《家具制造行业挥发性有机化合物排放标准》（</t>
    </r>
    <r>
      <rPr>
        <sz val="10.5"/>
        <color rgb="FFFF0000"/>
        <rFont val="Times New Roman"/>
        <family val="1"/>
      </rPr>
      <t>DB44/814-2010</t>
    </r>
    <r>
      <rPr>
        <sz val="10.5"/>
        <color rgb="FFFF0000"/>
        <rFont val="宋体"/>
        <family val="3"/>
        <charset val="134"/>
      </rPr>
      <t>）第Ⅱ时段标准，</t>
    </r>
    <r>
      <rPr>
        <sz val="10.5"/>
        <color theme="1"/>
        <rFont val="宋体"/>
        <family val="3"/>
        <charset val="134"/>
      </rPr>
      <t>经大气稀释扩散后，预计不会对大气环境造成明显影响。</t>
    </r>
  </si>
  <si>
    <t>防潮油</t>
  </si>
  <si>
    <t>防潮油废气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</si>
  <si>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排放企业整治方案的通知》，防潮油废气参照执行《家具制造行业挥发性有机化合物排放标准》（</t>
    </r>
    <r>
      <rPr>
        <sz val="10.5"/>
        <color theme="1"/>
        <rFont val="Times New Roman"/>
        <family val="1"/>
      </rPr>
      <t>DB44/814-2010</t>
    </r>
    <r>
      <rPr>
        <sz val="10.5"/>
        <color theme="1"/>
        <rFont val="宋体"/>
        <family val="3"/>
        <charset val="134"/>
      </rPr>
      <t>）标准。</t>
    </r>
  </si>
  <si>
    <r>
      <t>根据防潮油的成分，按有机废气挥发量为原料用量的</t>
    </r>
    <r>
      <rPr>
        <sz val="10.5"/>
        <color rgb="FFFF0000"/>
        <rFont val="Times New Roman"/>
        <family val="1"/>
      </rPr>
      <t>42.3%</t>
    </r>
    <r>
      <rPr>
        <sz val="10.5"/>
        <color rgb="FFFF0000"/>
        <rFont val="宋体"/>
        <family val="3"/>
        <charset val="134"/>
      </rPr>
      <t>计算</t>
    </r>
    <r>
      <rPr>
        <sz val="10.5"/>
        <color rgb="FF000000"/>
        <rFont val="宋体"/>
        <family val="3"/>
        <charset val="134"/>
      </rPr>
      <t>。项目</t>
    </r>
    <r>
      <rPr>
        <sz val="10.5"/>
        <color rgb="FFFF0000"/>
        <rFont val="宋体"/>
        <family val="3"/>
        <charset val="134"/>
      </rPr>
      <t>年用防潮油</t>
    </r>
    <r>
      <rPr>
        <sz val="10.5"/>
        <color rgb="FFFF0000"/>
        <rFont val="Times New Roman"/>
        <family val="1"/>
      </rPr>
      <t>0.1t</t>
    </r>
    <r>
      <rPr>
        <sz val="10.5"/>
        <color rgb="FF000000"/>
        <rFont val="宋体"/>
        <family val="3"/>
        <charset val="134"/>
      </rPr>
      <t>。建议将有机废气收集后于</t>
    </r>
    <r>
      <rPr>
        <sz val="10.5"/>
        <color rgb="FF000000"/>
        <rFont val="Times New Roman"/>
        <family val="1"/>
      </rPr>
      <t>15</t>
    </r>
    <r>
      <rPr>
        <sz val="10.5"/>
        <color rgb="FF000000"/>
        <rFont val="宋体"/>
        <family val="3"/>
        <charset val="134"/>
      </rPr>
      <t>米排气筒排放。车间废气污染物</t>
    </r>
    <r>
      <rPr>
        <sz val="10.5"/>
        <color theme="1"/>
        <rFont val="宋体"/>
        <family val="3"/>
        <charset val="134"/>
      </rPr>
      <t>产生和排放情况如表</t>
    </r>
    <r>
      <rPr>
        <sz val="10.5"/>
        <color theme="1"/>
        <rFont val="Times New Roman"/>
        <family val="1"/>
      </rPr>
      <t>5-1</t>
    </r>
    <r>
      <rPr>
        <sz val="10.5"/>
        <color theme="1"/>
        <rFont val="宋体"/>
        <family val="3"/>
        <charset val="134"/>
      </rPr>
      <t>。</t>
    </r>
  </si>
  <si>
    <r>
      <t>电路板经测试合格后，需要人工刷上防潮油，使电路板能更好地储存。根据厂家提供的资料，防潮油中含有溶剂。溶剂挥发会产生总</t>
    </r>
    <r>
      <rPr>
        <sz val="10.5"/>
        <color theme="1"/>
        <rFont val="Times New Roman"/>
        <family val="1"/>
      </rPr>
      <t>VOCs</t>
    </r>
    <r>
      <rPr>
        <sz val="10.5"/>
        <color theme="1"/>
        <rFont val="宋体"/>
        <family val="3"/>
        <charset val="134"/>
      </rPr>
      <t>。经核算，总</t>
    </r>
    <r>
      <rPr>
        <sz val="10.5"/>
        <color theme="1"/>
        <rFont val="Times New Roman"/>
        <family val="1"/>
      </rPr>
      <t>VOCs</t>
    </r>
    <r>
      <rPr>
        <sz val="10.5"/>
        <color theme="1"/>
        <rFont val="宋体"/>
        <family val="3"/>
        <charset val="134"/>
      </rPr>
      <t>挥发量不大。建议项目在刷防潮油的工位上方设置集气罩，将废气收集后通过</t>
    </r>
    <r>
      <rPr>
        <sz val="10.5"/>
        <color theme="1"/>
        <rFont val="Times New Roman"/>
        <family val="1"/>
      </rPr>
      <t>15m</t>
    </r>
    <r>
      <rPr>
        <sz val="10.5"/>
        <color theme="1"/>
        <rFont val="宋体"/>
        <family val="3"/>
        <charset val="134"/>
      </rPr>
      <t>排气筒排放。由污染源核算结果可知，</t>
    </r>
    <r>
      <rPr>
        <sz val="10.5"/>
        <color rgb="FFFF0000"/>
        <rFont val="宋体"/>
        <family val="3"/>
        <charset val="134"/>
      </rPr>
      <t>总</t>
    </r>
    <r>
      <rPr>
        <sz val="10.5"/>
        <color rgb="FFFF0000"/>
        <rFont val="Times New Roman"/>
        <family val="1"/>
      </rPr>
      <t>VOCs</t>
    </r>
    <r>
      <rPr>
        <sz val="10.5"/>
        <color rgb="FFFF0000"/>
        <rFont val="宋体"/>
        <family val="3"/>
        <charset val="134"/>
      </rPr>
      <t>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。有组织排放和无组织排放均满足《家具制造行业挥发性有机化合物排放标准》（</t>
    </r>
    <r>
      <rPr>
        <sz val="10.5"/>
        <color rgb="FFFF0000"/>
        <rFont val="Times New Roman"/>
        <family val="1"/>
      </rPr>
      <t>DB44/814-2010</t>
    </r>
    <r>
      <rPr>
        <sz val="10.5"/>
        <color rgb="FFFF0000"/>
        <rFont val="宋体"/>
        <family val="3"/>
        <charset val="134"/>
      </rPr>
      <t>）第Ⅱ时段标准，对周围环境影响不大。</t>
    </r>
  </si>
  <si>
    <t>浸锡（焊锡）烟尘和VOCs</t>
  </si>
  <si>
    <r>
      <t>项目浸锡工序主要使用锡条、助焊剂作为焊料。锡条为无铅锡条，助焊剂的主要成分为酒精、松香和醇类溶剂。焊接过程锡条会产生少量浸锡烟尘，污染因子主要为锡及其化合物；同时浸锡工作时助焊剂会挥发产生有机废气VOCs</t>
    </r>
    <r>
      <rPr>
        <sz val="10.5"/>
        <color theme="1"/>
        <rFont val="宋体"/>
        <family val="3"/>
        <charset val="134"/>
      </rPr>
      <t>。废气收集后经</t>
    </r>
    <r>
      <rPr>
        <sz val="10.5"/>
        <color theme="1"/>
        <rFont val="Times New Roman"/>
        <family val="1"/>
      </rPr>
      <t>15</t>
    </r>
    <r>
      <rPr>
        <sz val="10.5"/>
        <color theme="1"/>
        <rFont val="宋体"/>
        <family val="3"/>
        <charset val="134"/>
      </rPr>
      <t>米排气筒（</t>
    </r>
    <r>
      <rPr>
        <sz val="10.5"/>
        <color theme="1"/>
        <rFont val="Times New Roman"/>
        <family val="1"/>
      </rPr>
      <t>G1</t>
    </r>
    <r>
      <rPr>
        <sz val="10.5"/>
        <color theme="1"/>
        <rFont val="宋体"/>
        <family val="3"/>
        <charset val="134"/>
      </rPr>
      <t>）排放。</t>
    </r>
    <r>
      <rPr>
        <sz val="10.5"/>
        <color theme="1"/>
        <rFont val="Times New Roman"/>
        <family val="1"/>
      </rPr>
      <t xml:space="preserve">
</t>
    </r>
    <r>
      <rPr>
        <sz val="10.5"/>
        <color theme="1"/>
        <rFont val="宋体"/>
        <family val="3"/>
        <charset val="134"/>
      </rPr>
      <t>锡的熔点为</t>
    </r>
    <r>
      <rPr>
        <sz val="10.5"/>
        <color theme="1"/>
        <rFont val="Times New Roman"/>
        <family val="1"/>
      </rPr>
      <t>231.9</t>
    </r>
    <r>
      <rPr>
        <sz val="10.5"/>
        <color theme="1"/>
        <rFont val="宋体"/>
        <family val="3"/>
        <charset val="134"/>
      </rPr>
      <t>℃，沸点为</t>
    </r>
    <r>
      <rPr>
        <sz val="10.5"/>
        <color theme="1"/>
        <rFont val="Times New Roman"/>
        <family val="1"/>
      </rPr>
      <t>2260</t>
    </r>
    <r>
      <rPr>
        <sz val="10.5"/>
        <color theme="1"/>
        <rFont val="宋体"/>
        <family val="3"/>
        <charset val="134"/>
      </rPr>
      <t>℃。浸锡工作温度约为</t>
    </r>
    <r>
      <rPr>
        <sz val="10.5"/>
        <color theme="1"/>
        <rFont val="Times New Roman"/>
        <family val="1"/>
      </rPr>
      <t>240</t>
    </r>
    <r>
      <rPr>
        <sz val="10.5"/>
        <color theme="1"/>
        <rFont val="宋体"/>
        <family val="3"/>
        <charset val="134"/>
      </rPr>
      <t>℃</t>
    </r>
    <r>
      <rPr>
        <sz val="10.5"/>
        <color theme="1"/>
        <rFont val="Times New Roman"/>
        <family val="1"/>
      </rPr>
      <t>~260</t>
    </r>
    <r>
      <rPr>
        <sz val="10.5"/>
        <color theme="1"/>
        <rFont val="宋体"/>
        <family val="3"/>
        <charset val="134"/>
      </rPr>
      <t>℃，故浸锡烟尘中锡及其化合物的产生量比较少。根据参考《船舶工业劳动保护手册》</t>
    </r>
    <r>
      <rPr>
        <sz val="10.5"/>
        <color theme="1"/>
        <rFont val="Times New Roman"/>
        <family val="1"/>
      </rPr>
      <t>(</t>
    </r>
    <r>
      <rPr>
        <sz val="10.5"/>
        <color theme="1"/>
        <rFont val="宋体"/>
        <family val="3"/>
        <charset val="134"/>
      </rPr>
      <t>上海工业出版社，</t>
    </r>
    <r>
      <rPr>
        <sz val="10.5"/>
        <color theme="1"/>
        <rFont val="Times New Roman"/>
        <family val="1"/>
      </rPr>
      <t>1989</t>
    </r>
    <r>
      <rPr>
        <sz val="10.5"/>
        <color theme="1"/>
        <rFont val="宋体"/>
        <family val="3"/>
        <charset val="134"/>
      </rPr>
      <t>年第一版，江南造船厂科协</t>
    </r>
    <r>
      <rPr>
        <sz val="10.5"/>
        <color theme="1"/>
        <rFont val="Times New Roman"/>
        <family val="1"/>
      </rPr>
      <t>)</t>
    </r>
    <r>
      <rPr>
        <sz val="10.5"/>
        <color theme="1"/>
        <rFont val="宋体"/>
        <family val="3"/>
        <charset val="134"/>
      </rPr>
      <t>及其同类型项目的类比分析，浸锡烟尘产生量按焊料用量</t>
    </r>
    <r>
      <rPr>
        <sz val="10.5"/>
        <color theme="1"/>
        <rFont val="Times New Roman"/>
        <family val="1"/>
      </rPr>
      <t>10g/kg</t>
    </r>
    <r>
      <rPr>
        <sz val="10.5"/>
        <color theme="1"/>
        <rFont val="宋体"/>
        <family val="3"/>
        <charset val="134"/>
      </rPr>
      <t>计算，</t>
    </r>
    <r>
      <rPr>
        <sz val="10.5"/>
        <color rgb="FFFF0000"/>
        <rFont val="宋体"/>
        <family val="3"/>
        <charset val="134"/>
      </rPr>
      <t>项目锡条用量为</t>
    </r>
    <r>
      <rPr>
        <sz val="10.5"/>
        <color rgb="FFFF0000"/>
        <rFont val="Times New Roman"/>
        <family val="1"/>
      </rPr>
      <t>0.2t/a</t>
    </r>
    <r>
      <rPr>
        <sz val="10.5"/>
        <color rgb="FFFF0000"/>
        <rFont val="宋体"/>
        <family val="3"/>
        <charset val="134"/>
      </rPr>
      <t>，浸锡工序每天工作</t>
    </r>
    <r>
      <rPr>
        <sz val="10.5"/>
        <color rgb="FFFF0000"/>
        <rFont val="Times New Roman"/>
        <family val="1"/>
      </rPr>
      <t>6</t>
    </r>
    <r>
      <rPr>
        <sz val="10.5"/>
        <color rgb="FFFF0000"/>
        <rFont val="宋体"/>
        <family val="3"/>
        <charset val="134"/>
      </rPr>
      <t>小时，年工作</t>
    </r>
    <r>
      <rPr>
        <sz val="10.5"/>
        <color rgb="FFFF0000"/>
        <rFont val="Times New Roman"/>
        <family val="1"/>
      </rPr>
      <t>300</t>
    </r>
    <r>
      <rPr>
        <sz val="10.5"/>
        <color rgb="FFFF0000"/>
        <rFont val="宋体"/>
        <family val="3"/>
        <charset val="134"/>
      </rPr>
      <t>天，则项目锡及其化合物产生量为</t>
    </r>
    <r>
      <rPr>
        <sz val="10.5"/>
        <color rgb="FFFF0000"/>
        <rFont val="Times New Roman"/>
        <family val="1"/>
      </rPr>
      <t>2kg /a</t>
    </r>
    <r>
      <rPr>
        <sz val="10.5"/>
        <color rgb="FFFF0000"/>
        <rFont val="宋体"/>
        <family val="3"/>
        <charset val="134"/>
      </rPr>
      <t>，产生速率为</t>
    </r>
    <r>
      <rPr>
        <sz val="10.5"/>
        <color rgb="FFFF0000"/>
        <rFont val="Times New Roman"/>
        <family val="1"/>
      </rPr>
      <t>0.001kg/h</t>
    </r>
    <r>
      <rPr>
        <sz val="10.5"/>
        <color rgb="FFFF0000"/>
        <rFont val="宋体"/>
        <family val="3"/>
        <charset val="134"/>
      </rPr>
      <t>。</t>
    </r>
    <r>
      <rPr>
        <sz val="10.5"/>
        <color theme="1"/>
        <rFont val="Times New Roman"/>
        <family val="1"/>
      </rPr>
      <t xml:space="preserve">
</t>
    </r>
    <r>
      <rPr>
        <sz val="10.5"/>
        <color theme="1"/>
        <rFont val="宋体"/>
        <family val="3"/>
        <charset val="134"/>
      </rPr>
      <t>根据建设方提供的成分报告，助焊剂主要成分为混合醇溶剂占总含量的</t>
    </r>
    <r>
      <rPr>
        <sz val="10.5"/>
        <color theme="1"/>
        <rFont val="Times New Roman"/>
        <family val="1"/>
      </rPr>
      <t>92.3%</t>
    </r>
    <r>
      <rPr>
        <sz val="10.5"/>
        <color theme="1"/>
        <rFont val="宋体"/>
        <family val="3"/>
        <charset val="134"/>
      </rPr>
      <t>等。易挥发成分主要为醇类溶剂，挥发系数按</t>
    </r>
    <r>
      <rPr>
        <sz val="10.5"/>
        <color theme="1"/>
        <rFont val="Times New Roman"/>
        <family val="1"/>
      </rPr>
      <t>92.3%</t>
    </r>
    <r>
      <rPr>
        <sz val="10.5"/>
        <color theme="1"/>
        <rFont val="宋体"/>
        <family val="3"/>
        <charset val="134"/>
      </rPr>
      <t>计算</t>
    </r>
    <r>
      <rPr>
        <sz val="10.5"/>
        <color rgb="FFFF0000"/>
        <rFont val="宋体"/>
        <family val="3"/>
        <charset val="134"/>
      </rPr>
      <t>。项目浸锡助焊剂年用量约为</t>
    </r>
    <r>
      <rPr>
        <sz val="10.5"/>
        <color rgb="FFFF0000"/>
        <rFont val="Times New Roman"/>
        <family val="1"/>
      </rPr>
      <t>50kg/a</t>
    </r>
    <r>
      <rPr>
        <sz val="10.5"/>
        <color rgb="FFFF0000"/>
        <rFont val="宋体"/>
        <family val="3"/>
        <charset val="134"/>
      </rPr>
      <t>，故总</t>
    </r>
    <r>
      <rPr>
        <sz val="10.5"/>
        <color rgb="FFFF0000"/>
        <rFont val="Times New Roman"/>
        <family val="1"/>
      </rPr>
      <t>VOCs</t>
    </r>
    <r>
      <rPr>
        <sz val="10.5"/>
        <color rgb="FFFF0000"/>
        <rFont val="宋体"/>
        <family val="3"/>
        <charset val="134"/>
      </rPr>
      <t>产生量为</t>
    </r>
    <r>
      <rPr>
        <sz val="10.5"/>
        <color rgb="FFFF0000"/>
        <rFont val="Times New Roman"/>
        <family val="1"/>
      </rPr>
      <t>46.15kg/a</t>
    </r>
    <r>
      <rPr>
        <sz val="10.5"/>
        <color rgb="FFFF0000"/>
        <rFont val="宋体"/>
        <family val="3"/>
        <charset val="134"/>
      </rPr>
      <t>，浸锡浸锡工序每天工作</t>
    </r>
    <r>
      <rPr>
        <sz val="10.5"/>
        <color rgb="FFFF0000"/>
        <rFont val="Times New Roman"/>
        <family val="1"/>
      </rPr>
      <t>6</t>
    </r>
    <r>
      <rPr>
        <sz val="10.5"/>
        <color rgb="FFFF0000"/>
        <rFont val="宋体"/>
        <family val="3"/>
        <charset val="134"/>
      </rPr>
      <t>小时，年工作</t>
    </r>
    <r>
      <rPr>
        <sz val="10.5"/>
        <color rgb="FFFF0000"/>
        <rFont val="Times New Roman"/>
        <family val="1"/>
      </rPr>
      <t>300</t>
    </r>
    <r>
      <rPr>
        <sz val="10.5"/>
        <color rgb="FFFF0000"/>
        <rFont val="宋体"/>
        <family val="3"/>
        <charset val="134"/>
      </rPr>
      <t>天，产生速率为</t>
    </r>
    <r>
      <rPr>
        <sz val="10.5"/>
        <color rgb="FFFF0000"/>
        <rFont val="Times New Roman"/>
        <family val="1"/>
      </rPr>
      <t>0.026 kg/h</t>
    </r>
    <r>
      <rPr>
        <sz val="10.5"/>
        <color rgb="FFFF0000"/>
        <rFont val="宋体"/>
        <family val="3"/>
        <charset val="134"/>
      </rPr>
      <t>。</t>
    </r>
    <r>
      <rPr>
        <sz val="10.5"/>
        <color theme="1"/>
        <rFont val="Times New Roman"/>
        <family val="1"/>
      </rPr>
      <t xml:space="preserve">
</t>
    </r>
  </si>
  <si>
    <r>
      <t>浸锡工序：项目主要使用锡条、助焊剂作为焊料。锡条为无铅锡条，助焊剂的主要成分为酒精、松香和醇类溶剂。焊接过程锡条会产生少量浸锡烟尘，污染因子主要为锡及其化合物；同时浸锡工作时助焊剂会挥发产生有机废气</t>
    </r>
    <r>
      <rPr>
        <sz val="10.5"/>
        <color theme="1"/>
        <rFont val="Times New Roman"/>
        <family val="1"/>
      </rPr>
      <t>VOCs</t>
    </r>
    <r>
      <rPr>
        <sz val="10.5"/>
        <color theme="1"/>
        <rFont val="宋体"/>
        <family val="3"/>
        <charset val="134"/>
      </rPr>
      <t>。</t>
    </r>
    <r>
      <rPr>
        <sz val="10.5"/>
        <color theme="1"/>
        <rFont val="Times New Roman"/>
        <family val="1"/>
      </rPr>
      <t xml:space="preserve">
</t>
    </r>
    <r>
      <rPr>
        <sz val="10.5"/>
        <color theme="1"/>
        <rFont val="宋体"/>
        <family val="3"/>
        <charset val="134"/>
      </rPr>
      <t>项目拟将以上废气收集后通过不低于</t>
    </r>
    <r>
      <rPr>
        <sz val="10.5"/>
        <color theme="1"/>
        <rFont val="Times New Roman"/>
        <family val="1"/>
      </rPr>
      <t>15m</t>
    </r>
    <r>
      <rPr>
        <sz val="10.5"/>
        <color theme="1"/>
        <rFont val="宋体"/>
        <family val="3"/>
        <charset val="134"/>
      </rPr>
      <t>的排气筒（</t>
    </r>
    <r>
      <rPr>
        <sz val="10.5"/>
        <color theme="1"/>
        <rFont val="Times New Roman"/>
        <family val="1"/>
      </rPr>
      <t>1#</t>
    </r>
    <r>
      <rPr>
        <sz val="10.5"/>
        <color theme="1"/>
        <rFont val="宋体"/>
        <family val="3"/>
        <charset val="134"/>
      </rPr>
      <t>）排放，收集效率为</t>
    </r>
    <r>
      <rPr>
        <sz val="10.5"/>
        <color theme="1"/>
        <rFont val="Times New Roman"/>
        <family val="1"/>
      </rPr>
      <t>90%</t>
    </r>
    <r>
      <rPr>
        <sz val="10.5"/>
        <color theme="1"/>
        <rFont val="宋体"/>
        <family val="3"/>
        <charset val="134"/>
      </rPr>
      <t>，处理效率为</t>
    </r>
    <r>
      <rPr>
        <sz val="10.5"/>
        <color theme="1"/>
        <rFont val="Times New Roman"/>
        <family val="1"/>
      </rPr>
      <t>90%</t>
    </r>
    <r>
      <rPr>
        <sz val="10.5"/>
        <color theme="1"/>
        <rFont val="宋体"/>
        <family val="3"/>
        <charset val="134"/>
      </rPr>
      <t>，排气筒建议风量为</t>
    </r>
    <r>
      <rPr>
        <sz val="10.5"/>
        <color theme="1"/>
        <rFont val="Times New Roman"/>
        <family val="1"/>
      </rPr>
      <t>10000 m</t>
    </r>
    <r>
      <rPr>
        <vertAlign val="superscript"/>
        <sz val="10.5"/>
        <color theme="1"/>
        <rFont val="Times New Roman"/>
        <family val="1"/>
      </rPr>
      <t>3</t>
    </r>
    <r>
      <rPr>
        <sz val="10.5"/>
        <color theme="1"/>
        <rFont val="Times New Roman"/>
        <family val="1"/>
      </rPr>
      <t>/h</t>
    </r>
    <r>
      <rPr>
        <sz val="10.5"/>
        <color theme="1"/>
        <rFont val="宋体"/>
        <family val="3"/>
        <charset val="134"/>
      </rPr>
      <t>。以上工序每天连续运行</t>
    </r>
    <r>
      <rPr>
        <sz val="10.5"/>
        <color theme="1"/>
        <rFont val="Times New Roman"/>
        <family val="1"/>
      </rPr>
      <t>6</t>
    </r>
    <r>
      <rPr>
        <sz val="10.5"/>
        <color theme="1"/>
        <rFont val="宋体"/>
        <family val="3"/>
        <charset val="134"/>
      </rPr>
      <t>小时，年工作</t>
    </r>
    <r>
      <rPr>
        <sz val="10.5"/>
        <color theme="1"/>
        <rFont val="Times New Roman"/>
        <family val="1"/>
      </rPr>
      <t>300</t>
    </r>
    <r>
      <rPr>
        <sz val="10.5"/>
        <color theme="1"/>
        <rFont val="宋体"/>
        <family val="3"/>
        <charset val="134"/>
      </rPr>
      <t>天。</t>
    </r>
    <r>
      <rPr>
        <sz val="10.5"/>
        <color theme="1"/>
        <rFont val="Times New Roman"/>
        <family val="1"/>
      </rPr>
      <t xml:space="preserve">
</t>
    </r>
    <r>
      <rPr>
        <sz val="10.5"/>
        <color theme="1"/>
        <rFont val="宋体"/>
        <family val="3"/>
        <charset val="134"/>
      </rPr>
      <t>根据工程分析核算，项目排气筒</t>
    </r>
    <r>
      <rPr>
        <sz val="10.5"/>
        <color rgb="FFFF0000"/>
        <rFont val="宋体"/>
        <family val="3"/>
        <charset val="134"/>
      </rPr>
      <t>锡及其化合物有组织排放量为</t>
    </r>
    <r>
      <rPr>
        <sz val="10.5"/>
        <color rgb="FFFF0000"/>
        <rFont val="Times New Roman"/>
        <family val="1"/>
      </rPr>
      <t>1.8kg/a</t>
    </r>
    <r>
      <rPr>
        <sz val="10.5"/>
        <color rgb="FFFF0000"/>
        <rFont val="宋体"/>
        <family val="3"/>
        <charset val="134"/>
      </rPr>
      <t>，排放速率为</t>
    </r>
    <r>
      <rPr>
        <sz val="10.5"/>
        <color rgb="FFFF0000"/>
        <rFont val="Times New Roman"/>
        <family val="1"/>
      </rPr>
      <t>0.001kg/h</t>
    </r>
    <r>
      <rPr>
        <sz val="10.5"/>
        <color rgb="FFFF0000"/>
        <rFont val="宋体"/>
        <family val="3"/>
        <charset val="134"/>
      </rPr>
      <t>，排放浓度为</t>
    </r>
    <r>
      <rPr>
        <sz val="10.5"/>
        <color rgb="FFFF0000"/>
        <rFont val="Times New Roman"/>
        <family val="1"/>
      </rPr>
      <t>0.1mg/m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6.12×10</t>
    </r>
    <r>
      <rPr>
        <vertAlign val="superscript"/>
        <sz val="10.5"/>
        <color rgb="FFFF0000"/>
        <rFont val="Times New Roman"/>
        <family val="1"/>
      </rPr>
      <t>-6</t>
    </r>
    <r>
      <rPr>
        <sz val="10.5"/>
        <color rgb="FFFF0000"/>
        <rFont val="Times New Roman"/>
        <family val="1"/>
      </rPr>
      <t>mg/m</t>
    </r>
    <r>
      <rPr>
        <vertAlign val="superscript"/>
        <sz val="10.5"/>
        <color rgb="FFFF0000"/>
        <rFont val="Times New Roman"/>
        <family val="1"/>
      </rPr>
      <t>3</t>
    </r>
    <r>
      <rPr>
        <sz val="10.5"/>
        <color theme="1"/>
        <rFont val="宋体"/>
        <family val="3"/>
        <charset val="134"/>
      </rPr>
      <t>。符合广东省地方标准《大气污染物排放限值》（</t>
    </r>
    <r>
      <rPr>
        <sz val="10.5"/>
        <color theme="1"/>
        <rFont val="Times New Roman"/>
        <family val="1"/>
      </rPr>
      <t>DB44/27-2001</t>
    </r>
    <r>
      <rPr>
        <sz val="10.5"/>
        <color theme="1"/>
        <rFont val="宋体"/>
        <family val="3"/>
        <charset val="134"/>
      </rPr>
      <t>）中的锡及其化合物第二时段二级排放标准以及无组织排放时周界外浓度最高点浓度限值，对周围环境影响不大。</t>
    </r>
    <r>
      <rPr>
        <sz val="10.5"/>
        <color theme="1"/>
        <rFont val="Times New Roman"/>
        <family val="1"/>
      </rPr>
      <t xml:space="preserve">
</t>
    </r>
    <r>
      <rPr>
        <sz val="10.5"/>
        <color theme="1"/>
        <rFont val="宋体"/>
        <family val="3"/>
        <charset val="134"/>
      </rPr>
      <t>排气筒</t>
    </r>
    <r>
      <rPr>
        <sz val="10.5"/>
        <color theme="1"/>
        <rFont val="Times New Roman"/>
        <family val="1"/>
      </rPr>
      <t>G2 VOCs</t>
    </r>
    <r>
      <rPr>
        <sz val="10.5"/>
        <color rgb="FFFF0000"/>
        <rFont val="宋体"/>
        <family val="3"/>
        <charset val="134"/>
      </rPr>
      <t>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t>
    </r>
    <r>
      <rPr>
        <sz val="10.5"/>
        <color theme="1"/>
        <rFont val="宋体"/>
        <family val="3"/>
        <charset val="134"/>
      </rPr>
      <t>有组织排放和无组织排放均满足《家具制造行业挥发性有机化合物排放标准》（</t>
    </r>
    <r>
      <rPr>
        <sz val="10.5"/>
        <color theme="1"/>
        <rFont val="Times New Roman"/>
        <family val="1"/>
      </rPr>
      <t>DB44/814-2010</t>
    </r>
    <r>
      <rPr>
        <sz val="10.5"/>
        <color theme="1"/>
        <rFont val="宋体"/>
        <family val="3"/>
        <charset val="134"/>
      </rPr>
      <t>）第Ⅱ时段标准，对周围环境影响不大。</t>
    </r>
    <r>
      <rPr>
        <sz val="10.5"/>
        <color theme="1"/>
        <rFont val="Times New Roman"/>
        <family val="1"/>
      </rPr>
      <t xml:space="preserve">
</t>
    </r>
  </si>
  <si>
    <t>助焊剂</t>
  </si>
  <si>
    <t>锡炉</t>
  </si>
  <si>
    <t>VOCs</t>
  </si>
  <si>
    <r>
      <t>浸锡（焊锡）产生的烟尘排放执行《广东省大气污染物排放限值》（DB44/27-2001</t>
    </r>
    <r>
      <rPr>
        <sz val="10.5"/>
        <color theme="1"/>
        <rFont val="宋体"/>
        <family val="3"/>
        <charset val="134"/>
      </rPr>
      <t>）第Ⅱ时段标准：锡及其化合物最高允许排放浓度</t>
    </r>
    <r>
      <rPr>
        <sz val="10.5"/>
        <color theme="1"/>
        <rFont val="Times New Roman"/>
        <family val="1"/>
      </rPr>
      <t>8.5mg/m</t>
    </r>
    <r>
      <rPr>
        <vertAlign val="superscript"/>
        <sz val="10.5"/>
        <color theme="1"/>
        <rFont val="Times New Roman"/>
        <family val="1"/>
      </rPr>
      <t>3</t>
    </r>
    <r>
      <rPr>
        <sz val="10.5"/>
        <color theme="1"/>
        <rFont val="宋体"/>
        <family val="3"/>
        <charset val="134"/>
      </rPr>
      <t>、最高允许排放速率</t>
    </r>
    <r>
      <rPr>
        <sz val="10.5"/>
        <color theme="1"/>
        <rFont val="Times New Roman"/>
        <family val="1"/>
      </rPr>
      <t>0.25kg/h</t>
    </r>
    <r>
      <rPr>
        <sz val="10.5"/>
        <color theme="1"/>
        <rFont val="宋体"/>
        <family val="3"/>
        <charset val="134"/>
      </rPr>
      <t>；锡及其化合物无组织排放监控浓度限值</t>
    </r>
    <r>
      <rPr>
        <sz val="10.5"/>
        <color theme="1"/>
        <rFont val="Times New Roman"/>
        <family val="1"/>
      </rPr>
      <t>0.24mg/m</t>
    </r>
    <r>
      <rPr>
        <vertAlign val="superscript"/>
        <sz val="10.5"/>
        <color theme="1"/>
        <rFont val="Times New Roman"/>
        <family val="1"/>
      </rPr>
      <t>3</t>
    </r>
    <r>
      <rPr>
        <sz val="10.5"/>
        <color theme="1"/>
        <rFont val="宋体"/>
        <family val="3"/>
        <charset val="134"/>
      </rPr>
      <t>。</t>
    </r>
  </si>
  <si>
    <t>msds</t>
  </si>
  <si>
    <r>
      <t>项目浸锡工序使用助焊剂会产生浸锡废气，用总</t>
    </r>
    <r>
      <rPr>
        <sz val="10.5"/>
        <color theme="1"/>
        <rFont val="Times New Roman"/>
        <family val="1"/>
      </rPr>
      <t>VOCs</t>
    </r>
    <r>
      <rPr>
        <sz val="10.5"/>
        <color theme="1"/>
        <rFont val="宋体"/>
        <family val="3"/>
        <charset val="134"/>
      </rPr>
      <t>表示。根据项目提供资料，项目使用助焊剂的</t>
    </r>
    <r>
      <rPr>
        <sz val="10.5"/>
        <rFont val="宋体"/>
        <family val="3"/>
        <charset val="134"/>
      </rPr>
      <t>量为</t>
    </r>
    <r>
      <rPr>
        <sz val="10.5"/>
        <color rgb="FFFF0000"/>
        <rFont val="Times New Roman"/>
        <family val="1"/>
      </rPr>
      <t>90kg</t>
    </r>
    <r>
      <rPr>
        <sz val="10.5"/>
        <rFont val="Times New Roman"/>
        <family val="1"/>
      </rPr>
      <t>/a</t>
    </r>
    <r>
      <rPr>
        <sz val="10.5"/>
        <rFont val="宋体"/>
        <family val="3"/>
        <charset val="134"/>
      </rPr>
      <t>，助焊剂有机废气的排放系数为</t>
    </r>
    <r>
      <rPr>
        <sz val="10.5"/>
        <color rgb="FFFF0000"/>
        <rFont val="Times New Roman"/>
        <family val="1"/>
      </rPr>
      <t>93.09%</t>
    </r>
    <r>
      <rPr>
        <sz val="10.5"/>
        <rFont val="宋体"/>
        <family val="3"/>
        <charset val="134"/>
      </rPr>
      <t>，则助焊剂</t>
    </r>
    <r>
      <rPr>
        <sz val="10.5"/>
        <rFont val="Times New Roman"/>
        <family val="1"/>
      </rPr>
      <t>VOCs</t>
    </r>
    <r>
      <rPr>
        <sz val="10.5"/>
        <rFont val="宋体"/>
        <family val="3"/>
        <charset val="134"/>
      </rPr>
      <t>产生量为</t>
    </r>
    <r>
      <rPr>
        <sz val="10.5"/>
        <color rgb="FFFF0000"/>
        <rFont val="Times New Roman"/>
        <family val="1"/>
      </rPr>
      <t>83.8kg/a</t>
    </r>
    <r>
      <rPr>
        <sz val="10.5"/>
        <color rgb="FFFF0000"/>
        <rFont val="宋体"/>
        <family val="3"/>
        <charset val="134"/>
      </rPr>
      <t>（</t>
    </r>
    <r>
      <rPr>
        <sz val="10.5"/>
        <color rgb="FFFF0000"/>
        <rFont val="Times New Roman"/>
        <family val="1"/>
      </rPr>
      <t>0.0349kg/h</t>
    </r>
    <r>
      <rPr>
        <sz val="10.5"/>
        <color rgb="FFFF0000"/>
        <rFont val="宋体"/>
        <family val="3"/>
        <charset val="134"/>
      </rPr>
      <t>）</t>
    </r>
    <r>
      <rPr>
        <sz val="10.5"/>
        <rFont val="宋体"/>
        <family val="3"/>
        <charset val="134"/>
      </rPr>
      <t>。</t>
    </r>
  </si>
  <si>
    <r>
      <t>项目浸锡工序使用助焊剂会产生浸锡废气，用总</t>
    </r>
    <r>
      <rPr>
        <sz val="10.5"/>
        <color theme="1"/>
        <rFont val="Times New Roman"/>
        <family val="1"/>
      </rPr>
      <t>VOCs</t>
    </r>
    <r>
      <rPr>
        <sz val="10.5"/>
        <color theme="1"/>
        <rFont val="宋体"/>
        <family val="3"/>
        <charset val="134"/>
      </rPr>
      <t>表示。根据工艺分析可知，项目总</t>
    </r>
    <r>
      <rPr>
        <sz val="10.5"/>
        <color theme="1"/>
        <rFont val="Times New Roman"/>
        <family val="1"/>
      </rPr>
      <t>VOCs</t>
    </r>
    <r>
      <rPr>
        <sz val="10.5"/>
        <color theme="1"/>
        <rFont val="宋体"/>
        <family val="3"/>
        <charset val="134"/>
      </rPr>
      <t>产生量为</t>
    </r>
    <r>
      <rPr>
        <sz val="10.5"/>
        <color rgb="FFFF0000"/>
        <rFont val="Times New Roman"/>
        <family val="1"/>
      </rPr>
      <t>83.8kg/a</t>
    </r>
    <r>
      <rPr>
        <sz val="10.5"/>
        <color rgb="FFFF0000"/>
        <rFont val="宋体"/>
        <family val="3"/>
        <charset val="134"/>
      </rPr>
      <t>（</t>
    </r>
    <r>
      <rPr>
        <sz val="10.5"/>
        <color rgb="FFFF0000"/>
        <rFont val="Times New Roman"/>
        <family val="1"/>
      </rPr>
      <t>0.0349kg/h</t>
    </r>
    <r>
      <rPr>
        <sz val="10.5"/>
        <color rgb="FFFF0000"/>
        <rFont val="宋体"/>
        <family val="3"/>
        <charset val="134"/>
      </rPr>
      <t>）</t>
    </r>
    <r>
      <rPr>
        <sz val="10.5"/>
        <color theme="1"/>
        <rFont val="宋体"/>
        <family val="3"/>
        <charset val="134"/>
      </rPr>
      <t>。</t>
    </r>
    <r>
      <rPr>
        <sz val="10.5"/>
        <color theme="1"/>
        <rFont val="Times New Roman"/>
        <family val="1"/>
      </rPr>
      <t xml:space="preserve">
</t>
    </r>
    <r>
      <rPr>
        <sz val="10.5"/>
        <color theme="1"/>
        <rFont val="宋体"/>
        <family val="3"/>
        <charset val="134"/>
      </rPr>
      <t>环评要求项目在浸锡工序设置集气、排气系统，集气后经排气筒高空排放，排气筒高度为</t>
    </r>
    <r>
      <rPr>
        <sz val="10.5"/>
        <color theme="1"/>
        <rFont val="Times New Roman"/>
        <family val="1"/>
      </rPr>
      <t>15m</t>
    </r>
    <r>
      <rPr>
        <sz val="10.5"/>
        <color theme="1"/>
        <rFont val="宋体"/>
        <family val="3"/>
        <charset val="134"/>
      </rPr>
      <t>，且应高出周围</t>
    </r>
    <r>
      <rPr>
        <sz val="10.5"/>
        <color theme="1"/>
        <rFont val="Times New Roman"/>
        <family val="1"/>
      </rPr>
      <t>200m</t>
    </r>
    <r>
      <rPr>
        <sz val="10.5"/>
        <color theme="1"/>
        <rFont val="宋体"/>
        <family val="3"/>
        <charset val="134"/>
      </rPr>
      <t>半径范围的最高建筑</t>
    </r>
    <r>
      <rPr>
        <sz val="10.5"/>
        <color theme="1"/>
        <rFont val="Times New Roman"/>
        <family val="1"/>
      </rPr>
      <t>5m</t>
    </r>
    <r>
      <rPr>
        <sz val="10.5"/>
        <color theme="1"/>
        <rFont val="宋体"/>
        <family val="3"/>
        <charset val="134"/>
      </rPr>
      <t>以上。排气风量按</t>
    </r>
    <r>
      <rPr>
        <sz val="10.5"/>
        <color rgb="FFFF0000"/>
        <rFont val="Times New Roman"/>
        <family val="1"/>
      </rPr>
      <t>5000m</t>
    </r>
    <r>
      <rPr>
        <vertAlign val="superscript"/>
        <sz val="10.5"/>
        <color rgb="FFFF0000"/>
        <rFont val="Times New Roman"/>
        <family val="1"/>
      </rPr>
      <t>3</t>
    </r>
    <r>
      <rPr>
        <sz val="10.5"/>
        <color rgb="FFFF0000"/>
        <rFont val="Times New Roman"/>
        <family val="1"/>
      </rPr>
      <t>/h</t>
    </r>
    <r>
      <rPr>
        <sz val="10.5"/>
        <color rgb="FFFF0000"/>
        <rFont val="宋体"/>
        <family val="3"/>
        <charset val="134"/>
      </rPr>
      <t>计</t>
    </r>
    <r>
      <rPr>
        <sz val="10.5"/>
        <color theme="1"/>
        <rFont val="宋体"/>
        <family val="3"/>
        <charset val="134"/>
      </rPr>
      <t>，集气罩收集效率</t>
    </r>
    <r>
      <rPr>
        <sz val="10.5"/>
        <color theme="1"/>
        <rFont val="Times New Roman"/>
        <family val="1"/>
      </rPr>
      <t>90%</t>
    </r>
    <r>
      <rPr>
        <sz val="10.5"/>
        <color theme="1"/>
        <rFont val="宋体"/>
        <family val="3"/>
        <charset val="134"/>
      </rPr>
      <t>，其余</t>
    </r>
    <r>
      <rPr>
        <sz val="10.5"/>
        <color theme="1"/>
        <rFont val="Times New Roman"/>
        <family val="1"/>
      </rPr>
      <t>10%</t>
    </r>
    <r>
      <rPr>
        <sz val="10.5"/>
        <color theme="1"/>
        <rFont val="宋体"/>
        <family val="3"/>
        <charset val="134"/>
      </rPr>
      <t>为无组织排放。则污染物有组织及无组织排放情况见下表：项目产生的有机废气能够达到广东省地方标准《家具制造行业挥发性有机化合物排放标准》（</t>
    </r>
    <r>
      <rPr>
        <sz val="10.5"/>
        <color theme="1"/>
        <rFont val="Times New Roman"/>
        <family val="1"/>
      </rPr>
      <t>DB44/814-2010</t>
    </r>
    <r>
      <rPr>
        <sz val="10.5"/>
        <color theme="1"/>
        <rFont val="宋体"/>
        <family val="3"/>
        <charset val="134"/>
      </rPr>
      <t>）第Ⅱ时段标准要求，对员工以及周围环境的影响很小。</t>
    </r>
  </si>
  <si>
    <t>塑料</t>
  </si>
  <si>
    <t>破碎</t>
  </si>
  <si>
    <t>破碎粉尘</t>
  </si>
  <si>
    <r>
      <t>破碎工序产生的粉尘执行《合成树脂工业污染物排放标准》（GB31572-2015</t>
    </r>
    <r>
      <rPr>
        <sz val="10.5"/>
        <color theme="1"/>
        <rFont val="宋体"/>
        <family val="3"/>
        <charset val="134"/>
      </rPr>
      <t>）表</t>
    </r>
    <r>
      <rPr>
        <sz val="10.5"/>
        <color theme="1"/>
        <rFont val="Times New Roman"/>
        <family val="1"/>
      </rPr>
      <t>4</t>
    </r>
    <r>
      <rPr>
        <sz val="10.5"/>
        <color theme="1"/>
        <rFont val="宋体"/>
        <family val="3"/>
        <charset val="134"/>
      </rPr>
      <t>大气污染物排放限值和表</t>
    </r>
    <r>
      <rPr>
        <sz val="10.5"/>
        <color theme="1"/>
        <rFont val="Times New Roman"/>
        <family val="1"/>
      </rPr>
      <t>9</t>
    </r>
    <r>
      <rPr>
        <sz val="10.5"/>
        <color theme="1"/>
        <rFont val="宋体"/>
        <family val="3"/>
        <charset val="134"/>
      </rPr>
      <t>企业边界大气污染物浓度限值。</t>
    </r>
  </si>
  <si>
    <r>
      <t>项目所使用的</t>
    </r>
    <r>
      <rPr>
        <sz val="10.5"/>
        <color rgb="FFFF0000"/>
        <rFont val="Times New Roman"/>
        <family val="1"/>
      </rPr>
      <t>ABS</t>
    </r>
    <r>
      <rPr>
        <sz val="10.5"/>
        <color rgb="FFFF0000"/>
        <rFont val="宋体"/>
        <family val="3"/>
        <charset val="134"/>
      </rPr>
      <t>、</t>
    </r>
    <r>
      <rPr>
        <sz val="10.5"/>
        <color rgb="FFFF0000"/>
        <rFont val="Times New Roman"/>
        <family val="1"/>
      </rPr>
      <t>PC</t>
    </r>
    <r>
      <rPr>
        <sz val="10.5"/>
        <color rgb="FFFF0000"/>
        <rFont val="宋体"/>
        <family val="3"/>
        <charset val="134"/>
      </rPr>
      <t>、</t>
    </r>
    <r>
      <rPr>
        <sz val="10.5"/>
        <color rgb="FFFF0000"/>
        <rFont val="Times New Roman"/>
        <family val="1"/>
      </rPr>
      <t>AS</t>
    </r>
    <r>
      <rPr>
        <sz val="10.5"/>
        <color theme="1"/>
        <rFont val="宋体"/>
        <family val="3"/>
        <charset val="134"/>
      </rPr>
      <t>等塑料均是固体粒料，投料时无粉尘产生。因混料机操作时密封运行，混合过程中基本不会有粉尘外逸至车间。故投料和混料时粉尘产生量不大，予以忽略不计。项目设有</t>
    </r>
    <r>
      <rPr>
        <sz val="10.5"/>
        <color theme="1"/>
        <rFont val="Times New Roman"/>
        <family val="1"/>
      </rPr>
      <t>2</t>
    </r>
    <r>
      <rPr>
        <sz val="10.5"/>
        <color theme="1"/>
        <rFont val="宋体"/>
        <family val="3"/>
        <charset val="134"/>
      </rPr>
      <t>台破碎机，将产生的塑料次品及边角料经破碎机处理后回用于生产，破碎机放置在破碎车间内。项目破碎塑料占原料约</t>
    </r>
    <r>
      <rPr>
        <sz val="10.5"/>
        <color theme="1"/>
        <rFont val="Times New Roman"/>
        <family val="1"/>
      </rPr>
      <t>5%</t>
    </r>
    <r>
      <rPr>
        <sz val="10.5"/>
        <color theme="1"/>
        <rFont val="宋体"/>
        <family val="3"/>
        <charset val="134"/>
      </rPr>
      <t>，</t>
    </r>
    <r>
      <rPr>
        <sz val="10.5"/>
        <color rgb="FFFF0000"/>
        <rFont val="宋体"/>
        <family val="3"/>
        <charset val="134"/>
      </rPr>
      <t>年加工原料量是</t>
    </r>
    <r>
      <rPr>
        <sz val="10.5"/>
        <color rgb="FFFF0000"/>
        <rFont val="Times New Roman"/>
        <family val="1"/>
      </rPr>
      <t>363t</t>
    </r>
    <r>
      <rPr>
        <sz val="10.5"/>
        <color rgb="FFFF0000"/>
        <rFont val="宋体"/>
        <family val="3"/>
        <charset val="134"/>
      </rPr>
      <t>，故需要破碎的塑料量为</t>
    </r>
    <r>
      <rPr>
        <sz val="10.5"/>
        <color rgb="FFFF0000"/>
        <rFont val="Times New Roman"/>
        <family val="1"/>
      </rPr>
      <t>18 t/a</t>
    </r>
    <r>
      <rPr>
        <sz val="10.5"/>
        <color theme="1"/>
        <rFont val="宋体"/>
        <family val="3"/>
        <charset val="134"/>
      </rPr>
      <t>，每天约破碎</t>
    </r>
    <r>
      <rPr>
        <sz val="10.5"/>
        <color theme="1"/>
        <rFont val="Times New Roman"/>
        <family val="1"/>
      </rPr>
      <t>1</t>
    </r>
    <r>
      <rPr>
        <sz val="10.5"/>
        <color theme="1"/>
        <rFont val="宋体"/>
        <family val="3"/>
        <charset val="134"/>
      </rPr>
      <t>次，</t>
    </r>
    <r>
      <rPr>
        <sz val="10.5"/>
        <color rgb="FFFF0000"/>
        <rFont val="宋体"/>
        <family val="3"/>
        <charset val="134"/>
      </rPr>
      <t>每次最大破碎塑料量是</t>
    </r>
    <r>
      <rPr>
        <sz val="10.5"/>
        <color rgb="FFFF0000"/>
        <rFont val="Times New Roman"/>
        <family val="1"/>
      </rPr>
      <t>60 kg</t>
    </r>
    <r>
      <rPr>
        <sz val="10.5"/>
        <color rgb="FFFF0000"/>
        <rFont val="宋体"/>
        <family val="3"/>
        <charset val="134"/>
      </rPr>
      <t>，颗粒物产生系数约占塑料</t>
    </r>
    <r>
      <rPr>
        <sz val="10.5"/>
        <color rgb="FFFF0000"/>
        <rFont val="Times New Roman"/>
        <family val="1"/>
      </rPr>
      <t>1%</t>
    </r>
    <r>
      <rPr>
        <sz val="10.5"/>
        <color rgb="FFFF0000"/>
        <rFont val="宋体"/>
        <family val="3"/>
        <charset val="134"/>
      </rPr>
      <t>，每次破碎</t>
    </r>
    <r>
      <rPr>
        <sz val="10.5"/>
        <color rgb="FFFF0000"/>
        <rFont val="Times New Roman"/>
        <family val="1"/>
      </rPr>
      <t>4.0 h</t>
    </r>
    <r>
      <rPr>
        <sz val="10.5"/>
        <color rgb="FFFF0000"/>
        <rFont val="宋体"/>
        <family val="3"/>
        <charset val="134"/>
      </rPr>
      <t>，颗粒物的产生速率为</t>
    </r>
    <r>
      <rPr>
        <sz val="10.5"/>
        <color rgb="FFFF0000"/>
        <rFont val="Times New Roman"/>
        <family val="1"/>
      </rPr>
      <t>0.15 kg/h</t>
    </r>
    <r>
      <rPr>
        <sz val="10.5"/>
        <color rgb="FFFF0000"/>
        <rFont val="宋体"/>
        <family val="3"/>
        <charset val="134"/>
      </rPr>
      <t>，年产生和排放粉尘量为</t>
    </r>
    <r>
      <rPr>
        <sz val="10.5"/>
        <color rgb="FFFF0000"/>
        <rFont val="Times New Roman"/>
        <family val="1"/>
      </rPr>
      <t>180 kg/a</t>
    </r>
    <r>
      <rPr>
        <sz val="10.5"/>
        <color rgb="FFFF0000"/>
        <rFont val="宋体"/>
        <family val="3"/>
        <charset val="134"/>
      </rPr>
      <t>。</t>
    </r>
    <r>
      <rPr>
        <sz val="10.5"/>
        <color theme="1"/>
        <rFont val="宋体"/>
        <family val="3"/>
        <charset val="134"/>
      </rPr>
      <t>破碎粉尘的产生量不大，经车间排气扇无组织排出。</t>
    </r>
    <phoneticPr fontId="6" type="noConversion"/>
  </si>
  <si>
    <r>
      <t>环评要求项目在浸锡工序设置集气、排气系统，集气后经排气筒高空排放，排气筒高度为</t>
    </r>
    <r>
      <rPr>
        <sz val="10.5"/>
        <color theme="1"/>
        <rFont val="Times New Roman"/>
        <family val="1"/>
      </rPr>
      <t>15m</t>
    </r>
    <r>
      <rPr>
        <sz val="10.5"/>
        <color theme="1"/>
        <rFont val="宋体"/>
        <family val="3"/>
        <charset val="134"/>
      </rPr>
      <t>，且应高出周围</t>
    </r>
    <r>
      <rPr>
        <sz val="10.5"/>
        <color theme="1"/>
        <rFont val="Times New Roman"/>
        <family val="1"/>
      </rPr>
      <t>200m</t>
    </r>
    <r>
      <rPr>
        <sz val="10.5"/>
        <color theme="1"/>
        <rFont val="宋体"/>
        <family val="3"/>
        <charset val="134"/>
      </rPr>
      <t>半径范围的最高建筑</t>
    </r>
    <r>
      <rPr>
        <sz val="10.5"/>
        <color theme="1"/>
        <rFont val="Times New Roman"/>
        <family val="1"/>
      </rPr>
      <t>5m</t>
    </r>
    <r>
      <rPr>
        <sz val="10.5"/>
        <color theme="1"/>
        <rFont val="宋体"/>
        <family val="3"/>
        <charset val="134"/>
      </rPr>
      <t>以上。排气风量按</t>
    </r>
    <r>
      <rPr>
        <sz val="10.5"/>
        <color theme="1"/>
        <rFont val="Times New Roman"/>
        <family val="1"/>
      </rPr>
      <t>5000m</t>
    </r>
    <r>
      <rPr>
        <vertAlign val="superscript"/>
        <sz val="10.5"/>
        <color theme="1"/>
        <rFont val="Times New Roman"/>
        <family val="1"/>
      </rPr>
      <t>3</t>
    </r>
    <r>
      <rPr>
        <sz val="10.5"/>
        <color theme="1"/>
        <rFont val="Times New Roman"/>
        <family val="1"/>
      </rPr>
      <t>/h</t>
    </r>
    <r>
      <rPr>
        <sz val="10.5"/>
        <color theme="1"/>
        <rFont val="宋体"/>
        <family val="3"/>
        <charset val="134"/>
      </rPr>
      <t>计，集气罩收集效率</t>
    </r>
    <r>
      <rPr>
        <sz val="10.5"/>
        <color theme="1"/>
        <rFont val="Times New Roman"/>
        <family val="1"/>
      </rPr>
      <t>90%</t>
    </r>
    <r>
      <rPr>
        <sz val="10.5"/>
        <color theme="1"/>
        <rFont val="宋体"/>
        <family val="3"/>
        <charset val="134"/>
      </rPr>
      <t>，其余</t>
    </r>
    <r>
      <rPr>
        <sz val="10.5"/>
        <color theme="1"/>
        <rFont val="Times New Roman"/>
        <family val="1"/>
      </rPr>
      <t>10%</t>
    </r>
    <r>
      <rPr>
        <sz val="10.5"/>
        <color theme="1"/>
        <rFont val="宋体"/>
        <family val="3"/>
        <charset val="134"/>
      </rPr>
      <t>为无组织排放。则污染物有组织及无组织排放情况见下表：</t>
    </r>
  </si>
  <si>
    <t>建议在碎料机投料口加盖、出料口采用袋式出口，以减少塑料粉尘的飘散</t>
  </si>
  <si>
    <r>
      <t>PA</t>
    </r>
    <r>
      <rPr>
        <sz val="10.5"/>
        <color theme="1"/>
        <rFont val="宋体"/>
        <family val="3"/>
        <charset val="134"/>
      </rPr>
      <t>尼龙</t>
    </r>
  </si>
  <si>
    <t>注塑</t>
  </si>
  <si>
    <t>注塑异味</t>
  </si>
  <si>
    <r>
      <t>PA</t>
    </r>
    <r>
      <rPr>
        <sz val="10.5"/>
        <color theme="1"/>
        <rFont val="宋体"/>
        <family val="3"/>
        <charset val="134"/>
      </rPr>
      <t>塑料粒注塑产生的异味执行《恶臭污染物排放标准》（</t>
    </r>
    <r>
      <rPr>
        <sz val="10.5"/>
        <color theme="1"/>
        <rFont val="Times New Roman"/>
        <family val="1"/>
      </rPr>
      <t>GB14554-93</t>
    </r>
    <r>
      <rPr>
        <sz val="10.5"/>
        <color theme="1"/>
        <rFont val="宋体"/>
        <family val="3"/>
        <charset val="134"/>
      </rPr>
      <t>）中恶臭污染物厂界标准值的二级新扩改建标准：臭气浓度</t>
    </r>
    <r>
      <rPr>
        <sz val="10.5"/>
        <color theme="1"/>
        <rFont val="Times New Roman"/>
        <family val="1"/>
      </rPr>
      <t>≤20</t>
    </r>
    <r>
      <rPr>
        <sz val="10.5"/>
        <color theme="1"/>
        <rFont val="宋体"/>
        <family val="3"/>
        <charset val="134"/>
      </rPr>
      <t>（无量纲）。</t>
    </r>
  </si>
  <si>
    <r>
      <t>项目使用PA</t>
    </r>
    <r>
      <rPr>
        <sz val="10.5"/>
        <color theme="1"/>
        <rFont val="宋体"/>
        <family val="3"/>
        <charset val="134"/>
      </rPr>
      <t>塑料粒进行注塑会产生异味，其污染因子为氨和臭气浓度。</t>
    </r>
    <r>
      <rPr>
        <sz val="10.5"/>
        <color theme="1"/>
        <rFont val="Times New Roman"/>
        <family val="1"/>
      </rPr>
      <t>PA</t>
    </r>
    <r>
      <rPr>
        <sz val="10.5"/>
        <color theme="1"/>
        <rFont val="宋体"/>
        <family val="3"/>
        <charset val="134"/>
      </rPr>
      <t>塑料粒产生的注塑废气经集气罩收集后，通过一个</t>
    </r>
    <r>
      <rPr>
        <sz val="10.5"/>
        <color theme="1"/>
        <rFont val="Times New Roman"/>
        <family val="1"/>
      </rPr>
      <t>15</t>
    </r>
    <r>
      <rPr>
        <sz val="10.5"/>
        <color theme="1"/>
        <rFont val="宋体"/>
        <family val="3"/>
        <charset val="134"/>
      </rPr>
      <t>米高排气筒高空排放。类比同类项目，项目注塑工序产生的氨有组织排放浓度</t>
    </r>
    <r>
      <rPr>
        <sz val="10.5"/>
        <color theme="1"/>
        <rFont val="Times New Roman"/>
        <family val="1"/>
      </rPr>
      <t>≤30mg/m</t>
    </r>
    <r>
      <rPr>
        <vertAlign val="superscript"/>
        <sz val="10.5"/>
        <color theme="1"/>
        <rFont val="Times New Roman"/>
        <family val="1"/>
      </rPr>
      <t>3</t>
    </r>
    <r>
      <rPr>
        <sz val="10.5"/>
        <color theme="1"/>
        <rFont val="宋体"/>
        <family val="3"/>
        <charset val="134"/>
      </rPr>
      <t>，厂界臭气浓度</t>
    </r>
    <r>
      <rPr>
        <sz val="10.5"/>
        <color theme="1"/>
        <rFont val="Times New Roman"/>
        <family val="1"/>
      </rPr>
      <t>≤20</t>
    </r>
    <r>
      <rPr>
        <sz val="10.5"/>
        <color theme="1"/>
        <rFont val="宋体"/>
        <family val="3"/>
        <charset val="134"/>
      </rPr>
      <t>（无量纲）。</t>
    </r>
  </si>
  <si>
    <r>
      <t>项目使用</t>
    </r>
    <r>
      <rPr>
        <sz val="10.5"/>
        <color theme="1"/>
        <rFont val="Times New Roman"/>
        <family val="1"/>
      </rPr>
      <t>PA</t>
    </r>
    <r>
      <rPr>
        <sz val="10.5"/>
        <color theme="1"/>
        <rFont val="宋体"/>
        <family val="3"/>
        <charset val="134"/>
      </rPr>
      <t>塑料粒进行注塑会产生异味，其污染因子为氨和臭气浓度。</t>
    </r>
    <r>
      <rPr>
        <sz val="10.5"/>
        <color theme="1"/>
        <rFont val="Times New Roman"/>
        <family val="1"/>
      </rPr>
      <t>PA</t>
    </r>
    <r>
      <rPr>
        <sz val="10.5"/>
        <color theme="1"/>
        <rFont val="宋体"/>
        <family val="3"/>
        <charset val="134"/>
      </rPr>
      <t>产生的注塑废气经集气罩收集后，通过一个</t>
    </r>
    <r>
      <rPr>
        <sz val="10.5"/>
        <color theme="1"/>
        <rFont val="Times New Roman"/>
        <family val="1"/>
      </rPr>
      <t>15</t>
    </r>
    <r>
      <rPr>
        <sz val="10.5"/>
        <color theme="1"/>
        <rFont val="宋体"/>
        <family val="3"/>
        <charset val="134"/>
      </rPr>
      <t>米高排气筒高空排放。类比同类项目，项目注塑工序产生的氨有组织排放浓度</t>
    </r>
    <r>
      <rPr>
        <sz val="10.5"/>
        <color theme="1"/>
        <rFont val="Times New Roman"/>
        <family val="1"/>
      </rPr>
      <t>≤30mg/m</t>
    </r>
    <r>
      <rPr>
        <vertAlign val="superscript"/>
        <sz val="10.5"/>
        <color theme="1"/>
        <rFont val="Times New Roman"/>
        <family val="1"/>
      </rPr>
      <t>3</t>
    </r>
    <r>
      <rPr>
        <sz val="10.5"/>
        <color theme="1"/>
        <rFont val="宋体"/>
        <family val="3"/>
        <charset val="134"/>
      </rPr>
      <t>，低于《合成树脂工业污染物排放标准》（</t>
    </r>
    <r>
      <rPr>
        <sz val="10.5"/>
        <color theme="1"/>
        <rFont val="Times New Roman"/>
        <family val="1"/>
      </rPr>
      <t>GB31572-2015</t>
    </r>
    <r>
      <rPr>
        <sz val="10.5"/>
        <color theme="1"/>
        <rFont val="宋体"/>
        <family val="3"/>
        <charset val="134"/>
      </rPr>
      <t>）中表</t>
    </r>
    <r>
      <rPr>
        <sz val="10.5"/>
        <color theme="1"/>
        <rFont val="Times New Roman"/>
        <family val="1"/>
      </rPr>
      <t>4</t>
    </r>
    <r>
      <rPr>
        <sz val="10.5"/>
        <color theme="1"/>
        <rFont val="宋体"/>
        <family val="3"/>
        <charset val="134"/>
      </rPr>
      <t>规定的大气污染物氨的排放限值；厂界臭气浓度</t>
    </r>
    <r>
      <rPr>
        <sz val="10.5"/>
        <color theme="1"/>
        <rFont val="Times New Roman"/>
        <family val="1"/>
      </rPr>
      <t>≤20</t>
    </r>
    <r>
      <rPr>
        <sz val="10.5"/>
        <color theme="1"/>
        <rFont val="宋体"/>
        <family val="3"/>
        <charset val="134"/>
      </rPr>
      <t>（无量纲），低于《恶臭污染物排放标准》（</t>
    </r>
    <r>
      <rPr>
        <sz val="10.5"/>
        <color theme="1"/>
        <rFont val="Times New Roman"/>
        <family val="1"/>
      </rPr>
      <t>GB14554-93</t>
    </r>
    <r>
      <rPr>
        <sz val="10.5"/>
        <color theme="1"/>
        <rFont val="宋体"/>
        <family val="3"/>
        <charset val="134"/>
      </rPr>
      <t>）中恶臭污染物厂界标准值的二级新扩改建标准要求，企业加强车间通风换气措施，对周围环境影响不大。</t>
    </r>
  </si>
  <si>
    <r>
      <t>注塑（挤出、吸塑）</t>
    </r>
    <r>
      <rPr>
        <sz val="10.5"/>
        <color theme="1"/>
        <rFont val="宋体"/>
        <family val="3"/>
        <charset val="134"/>
      </rPr>
      <t>产生的有机废气执行《合成树脂工业污染物排放标准》（</t>
    </r>
    <r>
      <rPr>
        <sz val="10.5"/>
        <color theme="1"/>
        <rFont val="Times New Roman"/>
        <family val="1"/>
      </rPr>
      <t>GB31572-2015</t>
    </r>
    <r>
      <rPr>
        <sz val="10.5"/>
        <color theme="1"/>
        <rFont val="宋体"/>
        <family val="3"/>
        <charset val="134"/>
      </rPr>
      <t>）表</t>
    </r>
    <r>
      <rPr>
        <sz val="10.5"/>
        <color theme="1"/>
        <rFont val="Times New Roman"/>
        <family val="1"/>
      </rPr>
      <t>4</t>
    </r>
    <r>
      <rPr>
        <sz val="10.5"/>
        <color theme="1"/>
        <rFont val="宋体"/>
        <family val="3"/>
        <charset val="134"/>
      </rPr>
      <t>大气污染物排放限值和表</t>
    </r>
    <r>
      <rPr>
        <sz val="10.5"/>
        <color theme="1"/>
        <rFont val="Times New Roman"/>
        <family val="1"/>
      </rPr>
      <t>9</t>
    </r>
    <r>
      <rPr>
        <sz val="10.5"/>
        <color theme="1"/>
        <rFont val="宋体"/>
        <family val="3"/>
        <charset val="134"/>
      </rPr>
      <t>企业边界大气污染物浓度限值。</t>
    </r>
  </si>
  <si>
    <t>低温等离子处理设施</t>
    <phoneticPr fontId="6" type="noConversion"/>
  </si>
  <si>
    <r>
      <rPr>
        <sz val="10.5"/>
        <color theme="1"/>
        <rFont val="宋体"/>
        <family val="3"/>
        <charset val="134"/>
      </rPr>
      <t>项目生产时不涉及废旧塑料的使用，注塑时时会产生有机废气，其污染因子主要为非甲烷总烃。根据《空气污染物排放和控制手册》（美国国家环保局）中推荐的公式塑料加工废气排放系数，非甲烷总烃排放系数为</t>
    </r>
    <r>
      <rPr>
        <sz val="10.5"/>
        <color theme="1"/>
        <rFont val="Times New Roman"/>
        <family val="1"/>
      </rPr>
      <t>0.35 kg/t</t>
    </r>
    <r>
      <rPr>
        <sz val="10.5"/>
        <color theme="1"/>
        <rFont val="宋体"/>
        <family val="3"/>
        <charset val="134"/>
      </rPr>
      <t>树脂原料。项目年使用</t>
    </r>
    <r>
      <rPr>
        <sz val="10.5"/>
        <color rgb="FFFF0000"/>
        <rFont val="Times New Roman"/>
        <family val="1"/>
      </rPr>
      <t>ABS</t>
    </r>
    <r>
      <rPr>
        <sz val="10.5"/>
        <color rgb="FFFF0000"/>
        <rFont val="宋体"/>
        <family val="3"/>
        <charset val="134"/>
      </rPr>
      <t>、</t>
    </r>
    <r>
      <rPr>
        <sz val="10.5"/>
        <color rgb="FFFF0000"/>
        <rFont val="Times New Roman"/>
        <family val="1"/>
      </rPr>
      <t>PC</t>
    </r>
    <r>
      <rPr>
        <sz val="10.5"/>
        <color rgb="FFFF0000"/>
        <rFont val="宋体"/>
        <family val="3"/>
        <charset val="134"/>
      </rPr>
      <t>、</t>
    </r>
    <r>
      <rPr>
        <sz val="10.5"/>
        <color rgb="FFFF0000"/>
        <rFont val="Times New Roman"/>
        <family val="1"/>
      </rPr>
      <t>AS</t>
    </r>
    <r>
      <rPr>
        <sz val="10.5"/>
        <color theme="1"/>
        <rFont val="宋体"/>
        <family val="3"/>
        <charset val="134"/>
      </rPr>
      <t>等塑料总使用量是</t>
    </r>
    <r>
      <rPr>
        <sz val="10.5"/>
        <color rgb="FFFF0000"/>
        <rFont val="Times New Roman"/>
        <family val="1"/>
      </rPr>
      <t>363 t</t>
    </r>
    <r>
      <rPr>
        <sz val="10.5"/>
        <color theme="1"/>
        <rFont val="宋体"/>
        <family val="3"/>
        <charset val="134"/>
      </rPr>
      <t>，非甲烷总烃产生量是</t>
    </r>
    <r>
      <rPr>
        <sz val="10.5"/>
        <color rgb="FFFF0000"/>
        <rFont val="Times New Roman"/>
        <family val="1"/>
      </rPr>
      <t>127 kg/a</t>
    </r>
    <r>
      <rPr>
        <sz val="10.5"/>
        <color theme="1"/>
        <rFont val="宋体"/>
        <family val="3"/>
        <charset val="134"/>
      </rPr>
      <t>，项目将注塑废气进行收集后经等离子处理设施处理后于</t>
    </r>
    <r>
      <rPr>
        <sz val="10.5"/>
        <color theme="1"/>
        <rFont val="Times New Roman"/>
        <family val="1"/>
      </rPr>
      <t>15</t>
    </r>
    <r>
      <rPr>
        <sz val="10.5"/>
        <color theme="1"/>
        <rFont val="宋体"/>
        <family val="3"/>
        <charset val="134"/>
      </rPr>
      <t>米排气筒排放，收集效率约</t>
    </r>
    <r>
      <rPr>
        <sz val="10.5"/>
        <color theme="1"/>
        <rFont val="Times New Roman"/>
        <family val="1"/>
      </rPr>
      <t>90%</t>
    </r>
    <r>
      <rPr>
        <sz val="10.5"/>
        <color theme="1"/>
        <rFont val="宋体"/>
        <family val="3"/>
        <charset val="134"/>
      </rPr>
      <t>，处理效率按</t>
    </r>
    <r>
      <rPr>
        <sz val="10.5"/>
        <color theme="1"/>
        <rFont val="Times New Roman"/>
        <family val="1"/>
      </rPr>
      <t>70%</t>
    </r>
    <r>
      <rPr>
        <sz val="10.5"/>
        <color theme="1"/>
        <rFont val="宋体"/>
        <family val="3"/>
        <charset val="134"/>
      </rPr>
      <t>计算，风机风量为</t>
    </r>
    <r>
      <rPr>
        <sz val="10.5"/>
        <color theme="1"/>
        <rFont val="Times New Roman"/>
        <family val="1"/>
      </rPr>
      <t>16000m</t>
    </r>
    <r>
      <rPr>
        <vertAlign val="superscript"/>
        <sz val="10.5"/>
        <color theme="1"/>
        <rFont val="Times New Roman"/>
        <family val="1"/>
      </rPr>
      <t>3</t>
    </r>
    <r>
      <rPr>
        <sz val="10.5"/>
        <color theme="1"/>
        <rFont val="Times New Roman"/>
        <family val="1"/>
      </rPr>
      <t>/h</t>
    </r>
    <r>
      <rPr>
        <sz val="10.5"/>
        <color theme="1"/>
        <rFont val="宋体"/>
        <family val="3"/>
        <charset val="134"/>
      </rPr>
      <t>，</t>
    </r>
    <r>
      <rPr>
        <sz val="10.5"/>
        <color rgb="FFFF0000"/>
        <rFont val="宋体"/>
        <family val="3"/>
        <charset val="134"/>
      </rPr>
      <t>故有组织排放量是</t>
    </r>
    <r>
      <rPr>
        <sz val="10.5"/>
        <color rgb="FFFF0000"/>
        <rFont val="Times New Roman"/>
        <family val="1"/>
      </rPr>
      <t>252 kg/a</t>
    </r>
    <r>
      <rPr>
        <sz val="10.5"/>
        <color rgb="FFFF0000"/>
        <rFont val="宋体"/>
        <family val="3"/>
        <charset val="134"/>
      </rPr>
      <t>，排放速率为</t>
    </r>
    <r>
      <rPr>
        <sz val="10.5"/>
        <color rgb="FFFF0000"/>
        <rFont val="Times New Roman"/>
        <family val="1"/>
      </rPr>
      <t>0.091kg/h</t>
    </r>
    <r>
      <rPr>
        <sz val="10.5"/>
        <color rgb="FFFF0000"/>
        <rFont val="宋体"/>
        <family val="3"/>
        <charset val="134"/>
      </rPr>
      <t>，有组织排放浓度为</t>
    </r>
    <r>
      <rPr>
        <sz val="10.5"/>
        <color rgb="FFFF0000"/>
        <rFont val="Times New Roman"/>
        <family val="1"/>
      </rPr>
      <t>18.17mg/m3</t>
    </r>
    <r>
      <rPr>
        <sz val="10.5"/>
        <color rgb="FFFF0000"/>
        <rFont val="宋体"/>
        <family val="3"/>
        <charset val="134"/>
      </rPr>
      <t>。具体废气产排情况见表</t>
    </r>
    <r>
      <rPr>
        <sz val="10.5"/>
        <color rgb="FFFF0000"/>
        <rFont val="Times New Roman"/>
        <family val="1"/>
      </rPr>
      <t>5-1</t>
    </r>
    <r>
      <rPr>
        <sz val="10.5"/>
        <color rgb="FFFF0000"/>
        <rFont val="宋体"/>
        <family val="3"/>
        <charset val="134"/>
      </rPr>
      <t>所示。</t>
    </r>
    <phoneticPr fontId="6" type="noConversion"/>
  </si>
  <si>
    <r>
      <rPr>
        <sz val="10.5"/>
        <color theme="1"/>
        <rFont val="宋体"/>
        <family val="3"/>
        <charset val="134"/>
      </rPr>
      <t>项目生产时不涉及废旧塑料的使用，仅注塑过程塑料热熔时会产生有机废气，其污染因子主要为非甲烷总烃。收集后经等离子处理设施处理后于</t>
    </r>
    <r>
      <rPr>
        <sz val="10.5"/>
        <color theme="1"/>
        <rFont val="Times New Roman"/>
        <family val="1"/>
      </rPr>
      <t>15</t>
    </r>
    <r>
      <rPr>
        <sz val="10.5"/>
        <color theme="1"/>
        <rFont val="宋体"/>
        <family val="3"/>
        <charset val="134"/>
      </rPr>
      <t>米排气筒排放。根据污染源强分析章节计算可知，项目的印刷工序产生的总</t>
    </r>
    <r>
      <rPr>
        <sz val="10.5"/>
        <color theme="1"/>
        <rFont val="Times New Roman"/>
        <family val="1"/>
      </rPr>
      <t>VOCs</t>
    </r>
    <r>
      <rPr>
        <sz val="10.5"/>
        <color theme="1"/>
        <rFont val="宋体"/>
        <family val="3"/>
        <charset val="134"/>
      </rPr>
      <t>有组织排放速率为</t>
    </r>
    <r>
      <rPr>
        <sz val="10.5"/>
        <color theme="1"/>
        <rFont val="Times New Roman"/>
        <family val="1"/>
      </rPr>
      <t>0.091kg/h</t>
    </r>
    <r>
      <rPr>
        <sz val="10.5"/>
        <color theme="1"/>
        <rFont val="宋体"/>
        <family val="3"/>
        <charset val="134"/>
      </rPr>
      <t>，有组织排放浓度为</t>
    </r>
    <r>
      <rPr>
        <sz val="10.5"/>
        <color theme="1"/>
        <rFont val="Times New Roman"/>
        <family val="1"/>
      </rPr>
      <t>18.17mg/m3</t>
    </r>
    <r>
      <rPr>
        <sz val="10.5"/>
        <color theme="1"/>
        <rFont val="宋体"/>
        <family val="3"/>
        <charset val="134"/>
      </rPr>
      <t>，无组织排放</t>
    </r>
    <r>
      <rPr>
        <sz val="10.5"/>
        <color theme="1"/>
        <rFont val="Times New Roman"/>
        <family val="1"/>
      </rPr>
      <t xml:space="preserve"> </t>
    </r>
    <r>
      <rPr>
        <sz val="10.5"/>
        <color theme="1"/>
        <rFont val="宋体"/>
        <family val="3"/>
        <charset val="134"/>
      </rPr>
      <t>厂界浓度为</t>
    </r>
    <r>
      <rPr>
        <sz val="10.5"/>
        <color theme="1"/>
        <rFont val="Times New Roman"/>
        <family val="1"/>
      </rPr>
      <t>2.6</t>
    </r>
    <r>
      <rPr>
        <sz val="10.5"/>
        <color theme="1"/>
        <rFont val="宋体"/>
        <family val="3"/>
        <charset val="134"/>
      </rPr>
      <t>×</t>
    </r>
    <r>
      <rPr>
        <sz val="10.5"/>
        <color theme="1"/>
        <rFont val="Times New Roman"/>
        <family val="1"/>
      </rPr>
      <t>10-5mg/m3</t>
    </r>
    <r>
      <rPr>
        <sz val="10.5"/>
        <color theme="1"/>
        <rFont val="宋体"/>
        <family val="3"/>
        <charset val="134"/>
      </rPr>
      <t>，</t>
    </r>
    <r>
      <rPr>
        <sz val="10.5"/>
        <color theme="1"/>
        <rFont val="宋体"/>
        <family val="3"/>
        <charset val="134"/>
      </rPr>
      <t>均可达到《合成树脂工业污染物排放标准》（</t>
    </r>
    <r>
      <rPr>
        <sz val="10.5"/>
        <color theme="1"/>
        <rFont val="Times New Roman"/>
        <family val="1"/>
      </rPr>
      <t>GB31572-2015</t>
    </r>
    <r>
      <rPr>
        <sz val="10.5"/>
        <color theme="1"/>
        <rFont val="宋体"/>
        <family val="3"/>
        <charset val="134"/>
      </rPr>
      <t>）最高允许排放浓度限值，对周围环境敏感点影响不大。</t>
    </r>
    <phoneticPr fontId="6" type="noConversion"/>
  </si>
  <si>
    <r>
      <rPr>
        <sz val="10.5"/>
        <color theme="1"/>
        <rFont val="宋体"/>
        <family val="3"/>
        <charset val="134"/>
      </rPr>
      <t>废气收集经等离子处理设施处理后通过不低于</t>
    </r>
    <r>
      <rPr>
        <sz val="10.5"/>
        <color theme="1"/>
        <rFont val="Times New Roman"/>
        <family val="1"/>
      </rPr>
      <t>15</t>
    </r>
    <r>
      <rPr>
        <sz val="10.5"/>
        <color theme="1"/>
        <rFont val="宋体"/>
        <family val="3"/>
        <charset val="134"/>
      </rPr>
      <t>米的排气筒排放</t>
    </r>
    <phoneticPr fontId="6" type="noConversion"/>
  </si>
  <si>
    <t>塑料</t>
    <phoneticPr fontId="6" type="noConversion"/>
  </si>
  <si>
    <t>挤出</t>
  </si>
  <si>
    <t>挤出VOCs</t>
  </si>
  <si>
    <r>
      <t>项目生产时不涉及废旧塑料的使用，挤出塑料热熔挤出时会产生有机废气，其污染因子主要为非甲烷总烃。根据《空气污染物排放和控制手册》（美国国家环保局）中推荐的公式塑料加工废气排放系数，非甲烷总烃排放系数为0.35 kg/t</t>
    </r>
    <r>
      <rPr>
        <sz val="10.5"/>
        <color theme="1"/>
        <rFont val="宋体"/>
        <family val="3"/>
        <charset val="134"/>
      </rPr>
      <t>树脂原料。项目年使用</t>
    </r>
    <r>
      <rPr>
        <sz val="10.5"/>
        <color rgb="FFFF0000"/>
        <rFont val="Times New Roman"/>
        <family val="1"/>
      </rPr>
      <t>ABS</t>
    </r>
    <r>
      <rPr>
        <sz val="10.5"/>
        <color rgb="FFFF0000"/>
        <rFont val="宋体"/>
        <family val="3"/>
        <charset val="134"/>
      </rPr>
      <t>、</t>
    </r>
    <r>
      <rPr>
        <sz val="10.5"/>
        <color rgb="FFFF0000"/>
        <rFont val="Times New Roman"/>
        <family val="1"/>
      </rPr>
      <t>PC</t>
    </r>
    <r>
      <rPr>
        <sz val="10.5"/>
        <color rgb="FFFF0000"/>
        <rFont val="宋体"/>
        <family val="3"/>
        <charset val="134"/>
      </rPr>
      <t>、</t>
    </r>
    <r>
      <rPr>
        <sz val="10.5"/>
        <color rgb="FFFF0000"/>
        <rFont val="Times New Roman"/>
        <family val="1"/>
      </rPr>
      <t>AS</t>
    </r>
    <r>
      <rPr>
        <sz val="10.5"/>
        <color theme="1"/>
        <rFont val="宋体"/>
        <family val="3"/>
        <charset val="134"/>
      </rPr>
      <t>等塑料总使用量是</t>
    </r>
    <r>
      <rPr>
        <sz val="10.5"/>
        <color rgb="FFFF0000"/>
        <rFont val="Times New Roman"/>
        <family val="1"/>
      </rPr>
      <t>363 t</t>
    </r>
    <r>
      <rPr>
        <sz val="10.5"/>
        <color theme="1"/>
        <rFont val="宋体"/>
        <family val="3"/>
        <charset val="134"/>
      </rPr>
      <t>，非甲烷总烃产生量是</t>
    </r>
    <r>
      <rPr>
        <sz val="10.5"/>
        <color rgb="FFFF0000"/>
        <rFont val="Times New Roman"/>
        <family val="1"/>
      </rPr>
      <t>127 kg/a</t>
    </r>
    <r>
      <rPr>
        <sz val="10.5"/>
        <color theme="1"/>
        <rFont val="宋体"/>
        <family val="3"/>
        <charset val="134"/>
      </rPr>
      <t>，项目将挤出废气进行收集后于</t>
    </r>
    <r>
      <rPr>
        <sz val="10.5"/>
        <color theme="1"/>
        <rFont val="Times New Roman"/>
        <family val="1"/>
      </rPr>
      <t>“</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处理后</t>
    </r>
    <r>
      <rPr>
        <sz val="10.5"/>
        <color theme="1"/>
        <rFont val="Times New Roman"/>
        <family val="1"/>
      </rPr>
      <t>15</t>
    </r>
    <r>
      <rPr>
        <sz val="10.5"/>
        <color theme="1"/>
        <rFont val="宋体"/>
        <family val="3"/>
        <charset val="134"/>
      </rPr>
      <t>米排气筒排放，收集效率约</t>
    </r>
    <r>
      <rPr>
        <sz val="10.5"/>
        <color theme="1"/>
        <rFont val="Times New Roman"/>
        <family val="1"/>
      </rPr>
      <t>90%</t>
    </r>
    <r>
      <rPr>
        <sz val="10.5"/>
        <color theme="1"/>
        <rFont val="宋体"/>
        <family val="3"/>
        <charset val="134"/>
      </rPr>
      <t>，风机风量为</t>
    </r>
    <r>
      <rPr>
        <sz val="10.5"/>
        <color theme="1"/>
        <rFont val="Times New Roman"/>
        <family val="1"/>
      </rPr>
      <t>16000m</t>
    </r>
    <r>
      <rPr>
        <vertAlign val="superscript"/>
        <sz val="10.5"/>
        <color theme="1"/>
        <rFont val="Times New Roman"/>
        <family val="1"/>
      </rPr>
      <t>3</t>
    </r>
    <r>
      <rPr>
        <sz val="10.5"/>
        <color theme="1"/>
        <rFont val="Times New Roman"/>
        <family val="1"/>
      </rPr>
      <t>/h</t>
    </r>
    <r>
      <rPr>
        <sz val="10.5"/>
        <color theme="1"/>
        <rFont val="宋体"/>
        <family val="3"/>
        <charset val="134"/>
      </rPr>
      <t>，收集后引至楼顶排放，</t>
    </r>
    <r>
      <rPr>
        <sz val="10.5"/>
        <color rgb="FFFF0000"/>
        <rFont val="宋体"/>
        <family val="3"/>
        <charset val="134"/>
      </rPr>
      <t>故有组织排放量是</t>
    </r>
    <r>
      <rPr>
        <sz val="10.5"/>
        <color rgb="FFFF0000"/>
        <rFont val="Times New Roman"/>
        <family val="1"/>
      </rPr>
      <t>252 kg/a</t>
    </r>
    <r>
      <rPr>
        <sz val="10.5"/>
        <color rgb="FFFF0000"/>
        <rFont val="宋体"/>
        <family val="3"/>
        <charset val="134"/>
      </rPr>
      <t>。</t>
    </r>
  </si>
  <si>
    <r>
      <t>项目生产时不涉及废旧塑料的使用，仅挤出塑料热熔时会产生有机废气，其污染因子主要为非甲烷总烃。经收集后于等离子+</t>
    </r>
    <r>
      <rPr>
        <sz val="10.5"/>
        <color theme="1"/>
        <rFont val="宋体"/>
        <family val="3"/>
        <charset val="134"/>
      </rPr>
      <t>活性炭处理设施处理达标后于</t>
    </r>
    <r>
      <rPr>
        <sz val="10.5"/>
        <color theme="1"/>
        <rFont val="Times New Roman"/>
        <family val="1"/>
      </rPr>
      <t>15</t>
    </r>
    <r>
      <rPr>
        <sz val="10.5"/>
        <color theme="1"/>
        <rFont val="宋体"/>
        <family val="3"/>
        <charset val="134"/>
      </rPr>
      <t>米排气筒排放。经核算，排气筒的排放浓度</t>
    </r>
    <r>
      <rPr>
        <sz val="10.5"/>
        <color rgb="FFFF0000"/>
        <rFont val="Times New Roman"/>
        <family val="1"/>
      </rPr>
      <t>3.97mg/m</t>
    </r>
    <r>
      <rPr>
        <vertAlign val="superscript"/>
        <sz val="10.5"/>
        <color rgb="FFFF0000"/>
        <rFont val="Times New Roman"/>
        <family val="1"/>
      </rPr>
      <t>3</t>
    </r>
    <r>
      <rPr>
        <sz val="10.5"/>
        <color rgb="FFFF0000"/>
        <rFont val="宋体"/>
        <family val="3"/>
        <charset val="134"/>
      </rPr>
      <t>和排放速率</t>
    </r>
    <r>
      <rPr>
        <sz val="10.5"/>
        <color rgb="FFFF0000"/>
        <rFont val="Times New Roman"/>
        <family val="1"/>
      </rPr>
      <t>0.064kg/h</t>
    </r>
    <r>
      <rPr>
        <sz val="10.5"/>
        <color rgb="FFFF0000"/>
        <rFont val="宋体"/>
        <family val="3"/>
        <charset val="134"/>
      </rPr>
      <t>，</t>
    </r>
    <r>
      <rPr>
        <sz val="10.5"/>
        <color theme="1"/>
        <rFont val="宋体"/>
        <family val="3"/>
        <charset val="134"/>
      </rPr>
      <t>均可达到《合成树脂工业污染物排放标准》（</t>
    </r>
    <r>
      <rPr>
        <sz val="10.5"/>
        <color theme="1"/>
        <rFont val="Times New Roman"/>
        <family val="1"/>
      </rPr>
      <t>GB31572-2015</t>
    </r>
    <r>
      <rPr>
        <sz val="10.5"/>
        <color theme="1"/>
        <rFont val="宋体"/>
        <family val="3"/>
        <charset val="134"/>
      </rPr>
      <t>）最高允许排放浓度限值，对周围环境敏感点影响不大。</t>
    </r>
  </si>
  <si>
    <r>
      <t>废气收集后通过“</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处理达标后不低于</t>
    </r>
    <r>
      <rPr>
        <sz val="10.5"/>
        <color theme="1"/>
        <rFont val="Times New Roman"/>
        <family val="1"/>
      </rPr>
      <t>15</t>
    </r>
    <r>
      <rPr>
        <sz val="10.5"/>
        <color theme="1"/>
        <rFont val="宋体"/>
        <family val="3"/>
        <charset val="134"/>
      </rPr>
      <t>米的排气筒排放</t>
    </r>
  </si>
  <si>
    <t>吸塑</t>
  </si>
  <si>
    <t>吸塑VOCs</t>
  </si>
  <si>
    <r>
      <rPr>
        <b/>
        <sz val="10.5"/>
        <color theme="1"/>
        <rFont val="宋体"/>
        <family val="3"/>
        <charset val="134"/>
      </rPr>
      <t>注塑过程产生的</t>
    </r>
    <r>
      <rPr>
        <b/>
        <sz val="10.5"/>
        <color theme="1"/>
        <rFont val="Times New Roman"/>
        <family val="1"/>
      </rPr>
      <t>VOCs</t>
    </r>
    <r>
      <rPr>
        <b/>
        <sz val="10.5"/>
        <color theme="1"/>
        <rFont val="宋体"/>
        <family val="3"/>
        <charset val="134"/>
      </rPr>
      <t>（</t>
    </r>
    <r>
      <rPr>
        <b/>
        <sz val="10.5"/>
        <color theme="1"/>
        <rFont val="Times New Roman"/>
        <family val="1"/>
      </rPr>
      <t>PVC</t>
    </r>
    <r>
      <rPr>
        <b/>
        <sz val="10.5"/>
        <color theme="1"/>
        <rFont val="宋体"/>
        <family val="3"/>
        <charset val="134"/>
      </rPr>
      <t>）</t>
    </r>
    <phoneticPr fontId="6" type="noConversion"/>
  </si>
  <si>
    <r>
      <t>项目注塑工艺温度未达到PE</t>
    </r>
    <r>
      <rPr>
        <sz val="10.5"/>
        <color theme="1"/>
        <rFont val="宋体"/>
        <family val="3"/>
        <charset val="134"/>
      </rPr>
      <t>和</t>
    </r>
    <r>
      <rPr>
        <sz val="10.5"/>
        <color theme="1"/>
        <rFont val="Times New Roman"/>
        <family val="1"/>
      </rPr>
      <t>PVC</t>
    </r>
    <r>
      <rPr>
        <sz val="10.5"/>
        <color theme="1"/>
        <rFont val="宋体"/>
        <family val="3"/>
        <charset val="134"/>
      </rPr>
      <t>塑料的热分解峰值温度，理论上不会产生乙烯等单体废气，因此挤出工序产生的废气主要为挥发出少量的异味气体，主要成分为</t>
    </r>
    <r>
      <rPr>
        <sz val="10.5"/>
        <color theme="1"/>
        <rFont val="Times New Roman"/>
        <family val="1"/>
      </rPr>
      <t>PE</t>
    </r>
    <r>
      <rPr>
        <sz val="10.5"/>
        <color theme="1"/>
        <rFont val="宋体"/>
        <family val="3"/>
        <charset val="134"/>
      </rPr>
      <t>塑料的受热气化物，用非甲烷总烃表示。根据美国环保局《空气污染物排放和控制手册》中规定取值：</t>
    </r>
    <r>
      <rPr>
        <sz val="10.5"/>
        <color rgb="FFFF0000"/>
        <rFont val="Times New Roman"/>
        <family val="1"/>
      </rPr>
      <t>PE</t>
    </r>
    <r>
      <rPr>
        <sz val="10.5"/>
        <color rgb="FFFF0000"/>
        <rFont val="宋体"/>
        <family val="3"/>
        <charset val="134"/>
      </rPr>
      <t>塑料非甲烷总烃产生量</t>
    </r>
    <r>
      <rPr>
        <sz val="10.5"/>
        <color rgb="FFFF0000"/>
        <rFont val="Times New Roman"/>
        <family val="1"/>
      </rPr>
      <t>0.35kg/</t>
    </r>
    <r>
      <rPr>
        <sz val="10.5"/>
        <color rgb="FFFF0000"/>
        <rFont val="宋体"/>
        <family val="3"/>
        <charset val="134"/>
      </rPr>
      <t>塑料</t>
    </r>
    <r>
      <rPr>
        <sz val="10.5"/>
        <color rgb="FFFF0000"/>
        <rFont val="Times New Roman"/>
        <family val="1"/>
      </rPr>
      <t>t</t>
    </r>
    <r>
      <rPr>
        <sz val="10.5"/>
        <color rgb="FFFF0000"/>
        <rFont val="宋体"/>
        <family val="3"/>
        <charset val="134"/>
      </rPr>
      <t>，</t>
    </r>
    <r>
      <rPr>
        <sz val="10.5"/>
        <color rgb="FFFF0000"/>
        <rFont val="Times New Roman"/>
        <family val="1"/>
      </rPr>
      <t>PVC</t>
    </r>
    <r>
      <rPr>
        <sz val="10.5"/>
        <color rgb="FFFF0000"/>
        <rFont val="宋体"/>
        <family val="3"/>
        <charset val="134"/>
      </rPr>
      <t>热熔参考非甲烷总烃产生量</t>
    </r>
    <r>
      <rPr>
        <sz val="10.5"/>
        <color rgb="FFFF0000"/>
        <rFont val="Times New Roman"/>
        <family val="1"/>
      </rPr>
      <t>8.5kg/t</t>
    </r>
    <r>
      <rPr>
        <sz val="10.5"/>
        <color rgb="FFFF0000"/>
        <rFont val="宋体"/>
        <family val="3"/>
        <charset val="134"/>
      </rPr>
      <t>塑料。挤出废气产生量</t>
    </r>
    <r>
      <rPr>
        <sz val="10.5"/>
        <color rgb="FFFF0000"/>
        <rFont val="Times New Roman"/>
        <family val="1"/>
      </rPr>
      <t>=(102×0.35/1000)+(102×8.5/1000)=0.90 t/a</t>
    </r>
    <r>
      <rPr>
        <sz val="10.5"/>
        <color theme="1"/>
        <rFont val="宋体"/>
        <family val="3"/>
        <charset val="134"/>
      </rPr>
      <t>，环评要求项目注塑挤出工序设置集气、排气系统，产生的有机废气经集气罩集中收集后，引至等离子</t>
    </r>
    <r>
      <rPr>
        <sz val="10.5"/>
        <color theme="1"/>
        <rFont val="Times New Roman"/>
        <family val="1"/>
      </rPr>
      <t>+</t>
    </r>
    <r>
      <rPr>
        <sz val="10.5"/>
        <color theme="1"/>
        <rFont val="宋体"/>
        <family val="3"/>
        <charset val="134"/>
      </rPr>
      <t>活性炭处理设施处理后于</t>
    </r>
    <r>
      <rPr>
        <sz val="10.5"/>
        <color theme="1"/>
        <rFont val="Times New Roman"/>
        <family val="1"/>
      </rPr>
      <t>15m</t>
    </r>
    <r>
      <rPr>
        <sz val="10.5"/>
        <color theme="1"/>
        <rFont val="宋体"/>
        <family val="3"/>
        <charset val="134"/>
      </rPr>
      <t>高排气筒排放，其产生及排放情况如表</t>
    </r>
    <r>
      <rPr>
        <sz val="10.5"/>
        <color theme="1"/>
        <rFont val="Times New Roman"/>
        <family val="1"/>
      </rPr>
      <t>5-1</t>
    </r>
    <r>
      <rPr>
        <sz val="10.5"/>
        <color theme="1"/>
        <rFont val="宋体"/>
        <family val="3"/>
        <charset val="134"/>
      </rPr>
      <t>所示。</t>
    </r>
  </si>
  <si>
    <r>
      <t>本报告要求项目注塑工序设置集气、排气系统，产生的有机废气经集气罩集中收集后，引至等离子+</t>
    </r>
    <r>
      <rPr>
        <sz val="10.5"/>
        <color theme="1"/>
        <rFont val="宋体"/>
        <family val="3"/>
        <charset val="134"/>
      </rPr>
      <t>活性炭处理后于</t>
    </r>
    <r>
      <rPr>
        <sz val="10.5"/>
        <color theme="1"/>
        <rFont val="Times New Roman"/>
        <family val="1"/>
      </rPr>
      <t>15m</t>
    </r>
    <r>
      <rPr>
        <sz val="10.5"/>
        <color theme="1"/>
        <rFont val="宋体"/>
        <family val="3"/>
        <charset val="134"/>
      </rPr>
      <t>高排气筒排放。在低温等离子设备的停留时间约</t>
    </r>
    <r>
      <rPr>
        <sz val="10.5"/>
        <color theme="1"/>
        <rFont val="Times New Roman"/>
        <family val="1"/>
      </rPr>
      <t>2s</t>
    </r>
    <r>
      <rPr>
        <sz val="10.5"/>
        <color theme="1"/>
        <rFont val="宋体"/>
        <family val="3"/>
        <charset val="134"/>
      </rPr>
      <t>，</t>
    </r>
    <r>
      <rPr>
        <sz val="10.5"/>
        <color rgb="FFFF0000"/>
        <rFont val="宋体"/>
        <family val="3"/>
        <charset val="134"/>
      </rPr>
      <t>处理风量设为</t>
    </r>
    <r>
      <rPr>
        <sz val="10.5"/>
        <color rgb="FFFF0000"/>
        <rFont val="Times New Roman"/>
        <family val="1"/>
      </rPr>
      <t>8000m3/h</t>
    </r>
    <r>
      <rPr>
        <sz val="10.5"/>
        <color rgb="FFFF0000"/>
        <rFont val="宋体"/>
        <family val="3"/>
        <charset val="134"/>
      </rPr>
      <t>，</t>
    </r>
    <r>
      <rPr>
        <sz val="10.5"/>
        <color theme="1"/>
        <rFont val="宋体"/>
        <family val="3"/>
        <charset val="134"/>
      </rPr>
      <t>交流电压为</t>
    </r>
    <r>
      <rPr>
        <sz val="10.5"/>
        <color theme="1"/>
        <rFont val="Times New Roman"/>
        <family val="1"/>
      </rPr>
      <t>4-12kV</t>
    </r>
    <r>
      <rPr>
        <sz val="10.5"/>
        <color theme="1"/>
        <rFont val="宋体"/>
        <family val="3"/>
        <charset val="134"/>
      </rPr>
      <t>，能耗为</t>
    </r>
    <r>
      <rPr>
        <sz val="10.5"/>
        <color theme="1"/>
        <rFont val="Times New Roman"/>
        <family val="1"/>
      </rPr>
      <t>20kW/10000m3</t>
    </r>
    <r>
      <rPr>
        <sz val="10.5"/>
        <color theme="1"/>
        <rFont val="宋体"/>
        <family val="3"/>
        <charset val="134"/>
      </rPr>
      <t>。根据《广东省印刷行业挥发性有机化合物废气治理技术指南》，处理每</t>
    </r>
    <r>
      <rPr>
        <sz val="10.5"/>
        <color theme="1"/>
        <rFont val="Times New Roman"/>
        <family val="1"/>
      </rPr>
      <t>10000m3/h</t>
    </r>
    <r>
      <rPr>
        <sz val="10.5"/>
        <color theme="1"/>
        <rFont val="宋体"/>
        <family val="3"/>
        <charset val="134"/>
      </rPr>
      <t>风量的废气，低温等离子体治理设施的功率为</t>
    </r>
    <r>
      <rPr>
        <sz val="10.5"/>
        <color theme="1"/>
        <rFont val="Times New Roman"/>
        <family val="1"/>
      </rPr>
      <t>20~50kW</t>
    </r>
    <r>
      <rPr>
        <sz val="10.5"/>
        <color theme="1"/>
        <rFont val="宋体"/>
        <family val="3"/>
        <charset val="134"/>
      </rPr>
      <t>；而根据低温等离子体治理设施处理效率影响因素分析的相关文献类比分析可知，有机废气处理效率达到</t>
    </r>
    <r>
      <rPr>
        <sz val="10.5"/>
        <color theme="1"/>
        <rFont val="Times New Roman"/>
        <family val="1"/>
      </rPr>
      <t>50~90%</t>
    </r>
    <r>
      <rPr>
        <sz val="10.5"/>
        <color theme="1"/>
        <rFont val="宋体"/>
        <family val="3"/>
        <charset val="134"/>
      </rPr>
      <t>之间，需要</t>
    </r>
    <r>
      <rPr>
        <sz val="10.5"/>
        <color theme="1"/>
        <rFont val="Times New Roman"/>
        <family val="1"/>
      </rPr>
      <t>1~2s</t>
    </r>
    <r>
      <rPr>
        <sz val="10.5"/>
        <color theme="1"/>
        <rFont val="宋体"/>
        <family val="3"/>
        <charset val="134"/>
      </rPr>
      <t>的停留时间。当低温等离子设备处理效率不低于</t>
    </r>
    <r>
      <rPr>
        <sz val="10.5"/>
        <color theme="1"/>
        <rFont val="Times New Roman"/>
        <family val="1"/>
      </rPr>
      <t>70%</t>
    </r>
    <r>
      <rPr>
        <sz val="10.5"/>
        <color theme="1"/>
        <rFont val="宋体"/>
        <family val="3"/>
        <charset val="134"/>
      </rPr>
      <t>，活性炭吸附效率不低于</t>
    </r>
    <r>
      <rPr>
        <sz val="10.5"/>
        <color theme="1"/>
        <rFont val="Times New Roman"/>
        <family val="1"/>
      </rPr>
      <t>70%</t>
    </r>
    <r>
      <rPr>
        <sz val="10.5"/>
        <color theme="1"/>
        <rFont val="宋体"/>
        <family val="3"/>
        <charset val="134"/>
      </rPr>
      <t>时，可保证低温等离子体</t>
    </r>
    <r>
      <rPr>
        <sz val="10.5"/>
        <color theme="1"/>
        <rFont val="Times New Roman"/>
        <family val="1"/>
      </rPr>
      <t>+</t>
    </r>
    <r>
      <rPr>
        <sz val="10.5"/>
        <color theme="1"/>
        <rFont val="宋体"/>
        <family val="3"/>
        <charset val="134"/>
      </rPr>
      <t>活性炭装置的处理效率</t>
    </r>
    <r>
      <rPr>
        <sz val="10.5"/>
        <color theme="1"/>
        <rFont val="Times New Roman"/>
        <family val="1"/>
      </rPr>
      <t>≥90%</t>
    </r>
    <r>
      <rPr>
        <sz val="10.5"/>
        <color theme="1"/>
        <rFont val="宋体"/>
        <family val="3"/>
        <charset val="134"/>
      </rPr>
      <t>。因此，在保证能耗和停留时间的条件下，项目选用低温等离子体</t>
    </r>
    <r>
      <rPr>
        <sz val="10.5"/>
        <color theme="1"/>
        <rFont val="Times New Roman"/>
        <family val="1"/>
      </rPr>
      <t>+</t>
    </r>
    <r>
      <rPr>
        <sz val="10.5"/>
        <color theme="1"/>
        <rFont val="宋体"/>
        <family val="3"/>
        <charset val="134"/>
      </rPr>
      <t>活性炭吸附装置能够满足处理工艺的要求。项目废气收集效率取</t>
    </r>
    <r>
      <rPr>
        <sz val="10.5"/>
        <color theme="1"/>
        <rFont val="Times New Roman"/>
        <family val="1"/>
      </rPr>
      <t>90%</t>
    </r>
    <r>
      <rPr>
        <sz val="10.5"/>
        <color theme="1"/>
        <rFont val="宋体"/>
        <family val="3"/>
        <charset val="134"/>
      </rPr>
      <t>，剩余</t>
    </r>
    <r>
      <rPr>
        <sz val="10.5"/>
        <color theme="1"/>
        <rFont val="Times New Roman"/>
        <family val="1"/>
      </rPr>
      <t>10%</t>
    </r>
    <r>
      <rPr>
        <sz val="10.5"/>
        <color theme="1"/>
        <rFont val="宋体"/>
        <family val="3"/>
        <charset val="134"/>
      </rPr>
      <t>为无组织形式排放。因此，项目挤出工序产生的有机废气经收集后通过</t>
    </r>
    <r>
      <rPr>
        <sz val="10.5"/>
        <color theme="1"/>
        <rFont val="Times New Roman"/>
        <family val="1"/>
      </rPr>
      <t>“</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处理达标后引至</t>
    </r>
    <r>
      <rPr>
        <sz val="10.5"/>
        <color theme="1"/>
        <rFont val="Times New Roman"/>
        <family val="1"/>
      </rPr>
      <t>15m</t>
    </r>
    <r>
      <rPr>
        <sz val="10.5"/>
        <color theme="1"/>
        <rFont val="宋体"/>
        <family val="3"/>
        <charset val="134"/>
      </rPr>
      <t>排气筒排放，经核算</t>
    </r>
    <r>
      <rPr>
        <sz val="10.5"/>
        <color rgb="FFFF0000"/>
        <rFont val="宋体"/>
        <family val="3"/>
        <charset val="134"/>
      </rPr>
      <t>排气筒的排放浓度</t>
    </r>
    <r>
      <rPr>
        <sz val="10.5"/>
        <color rgb="FFFF0000"/>
        <rFont val="Times New Roman"/>
        <family val="1"/>
      </rPr>
      <t>3.97mg/m3</t>
    </r>
    <r>
      <rPr>
        <sz val="10.5"/>
        <color rgb="FFFF0000"/>
        <rFont val="宋体"/>
        <family val="3"/>
        <charset val="134"/>
      </rPr>
      <t>和排放速率</t>
    </r>
    <r>
      <rPr>
        <sz val="10.5"/>
        <color rgb="FFFF0000"/>
        <rFont val="Times New Roman"/>
        <family val="1"/>
      </rPr>
      <t>0.064kg/h</t>
    </r>
    <r>
      <rPr>
        <sz val="10.5"/>
        <color theme="1"/>
        <rFont val="宋体"/>
        <family val="3"/>
        <charset val="134"/>
      </rPr>
      <t>，可达到《合成树脂工业污染物排放标准》（</t>
    </r>
    <r>
      <rPr>
        <sz val="10.5"/>
        <color theme="1"/>
        <rFont val="Times New Roman"/>
        <family val="1"/>
      </rPr>
      <t>GB31572-2015</t>
    </r>
    <r>
      <rPr>
        <sz val="10.5"/>
        <color theme="1"/>
        <rFont val="宋体"/>
        <family val="3"/>
        <charset val="134"/>
      </rPr>
      <t>）中非甲烷总烃的相关标准，对周围环境和敏感点影响不大。</t>
    </r>
  </si>
  <si>
    <r>
      <rPr>
        <b/>
        <sz val="10.5"/>
        <color theme="1"/>
        <rFont val="宋体"/>
        <family val="3"/>
        <charset val="134"/>
      </rPr>
      <t>挤出过程产生的</t>
    </r>
    <r>
      <rPr>
        <b/>
        <sz val="10.5"/>
        <color theme="1"/>
        <rFont val="Times New Roman"/>
        <family val="1"/>
      </rPr>
      <t>VOCs</t>
    </r>
    <r>
      <rPr>
        <b/>
        <sz val="10.5"/>
        <color theme="1"/>
        <rFont val="宋体"/>
        <family val="3"/>
        <charset val="134"/>
      </rPr>
      <t>（其他塑料</t>
    </r>
    <r>
      <rPr>
        <b/>
        <sz val="10.5"/>
        <color theme="1"/>
        <rFont val="Times New Roman"/>
        <family val="1"/>
      </rPr>
      <t>+PVC</t>
    </r>
    <r>
      <rPr>
        <b/>
        <sz val="10.5"/>
        <color theme="1"/>
        <rFont val="宋体"/>
        <family val="3"/>
        <charset val="134"/>
      </rPr>
      <t>）</t>
    </r>
    <phoneticPr fontId="6" type="noConversion"/>
  </si>
  <si>
    <r>
      <t>项目挤出工艺温度未达到PE</t>
    </r>
    <r>
      <rPr>
        <sz val="10.5"/>
        <color theme="1"/>
        <rFont val="宋体"/>
        <family val="3"/>
        <charset val="134"/>
      </rPr>
      <t>和</t>
    </r>
    <r>
      <rPr>
        <sz val="10.5"/>
        <color theme="1"/>
        <rFont val="Times New Roman"/>
        <family val="1"/>
      </rPr>
      <t>PVC</t>
    </r>
    <r>
      <rPr>
        <sz val="10.5"/>
        <color theme="1"/>
        <rFont val="宋体"/>
        <family val="3"/>
        <charset val="134"/>
      </rPr>
      <t>塑料的热分解峰值温度，理论上不会产生乙烯等单体废气，因此挤出工序产生的废气主要为挥发出少量的异味气体，主要成分为</t>
    </r>
    <r>
      <rPr>
        <sz val="10.5"/>
        <color theme="1"/>
        <rFont val="Times New Roman"/>
        <family val="1"/>
      </rPr>
      <t>PE</t>
    </r>
    <r>
      <rPr>
        <sz val="10.5"/>
        <color theme="1"/>
        <rFont val="宋体"/>
        <family val="3"/>
        <charset val="134"/>
      </rPr>
      <t>塑料的受热气化物，用非甲烷总烃表示。根据美国环保局《空气污染物排放和控制手册》中规定取值：</t>
    </r>
    <r>
      <rPr>
        <sz val="10.5"/>
        <color rgb="FFFF0000"/>
        <rFont val="Times New Roman"/>
        <family val="1"/>
      </rPr>
      <t>PE</t>
    </r>
    <r>
      <rPr>
        <sz val="10.5"/>
        <color rgb="FFFF0000"/>
        <rFont val="宋体"/>
        <family val="3"/>
        <charset val="134"/>
      </rPr>
      <t>塑料非甲烷总烃产生量</t>
    </r>
    <r>
      <rPr>
        <sz val="10.5"/>
        <color rgb="FFFF0000"/>
        <rFont val="Times New Roman"/>
        <family val="1"/>
      </rPr>
      <t>0.35kg/</t>
    </r>
    <r>
      <rPr>
        <sz val="10.5"/>
        <color rgb="FFFF0000"/>
        <rFont val="宋体"/>
        <family val="3"/>
        <charset val="134"/>
      </rPr>
      <t>塑料</t>
    </r>
    <r>
      <rPr>
        <sz val="10.5"/>
        <color rgb="FFFF0000"/>
        <rFont val="Times New Roman"/>
        <family val="1"/>
      </rPr>
      <t>t</t>
    </r>
    <r>
      <rPr>
        <sz val="10.5"/>
        <color rgb="FFFF0000"/>
        <rFont val="宋体"/>
        <family val="3"/>
        <charset val="134"/>
      </rPr>
      <t>，</t>
    </r>
    <r>
      <rPr>
        <sz val="10.5"/>
        <color rgb="FFFF0000"/>
        <rFont val="Times New Roman"/>
        <family val="1"/>
      </rPr>
      <t>PVC</t>
    </r>
    <r>
      <rPr>
        <sz val="10.5"/>
        <color rgb="FFFF0000"/>
        <rFont val="宋体"/>
        <family val="3"/>
        <charset val="134"/>
      </rPr>
      <t>热熔参考非甲烷总烃产生量</t>
    </r>
    <r>
      <rPr>
        <sz val="10.5"/>
        <color rgb="FFFF0000"/>
        <rFont val="Times New Roman"/>
        <family val="1"/>
      </rPr>
      <t>8.5kg/t</t>
    </r>
    <r>
      <rPr>
        <sz val="10.5"/>
        <color rgb="FFFF0000"/>
        <rFont val="宋体"/>
        <family val="3"/>
        <charset val="134"/>
      </rPr>
      <t>塑料。挤出废气产生量</t>
    </r>
    <r>
      <rPr>
        <sz val="10.5"/>
        <color rgb="FFFF0000"/>
        <rFont val="Times New Roman"/>
        <family val="1"/>
      </rPr>
      <t>=(102×0.35/1000)+(102×8.5/1000)=0.90 t/a</t>
    </r>
    <r>
      <rPr>
        <sz val="10.5"/>
        <color theme="1"/>
        <rFont val="宋体"/>
        <family val="3"/>
        <charset val="134"/>
      </rPr>
      <t>，环评要求项目注塑挤出工序设置集气、排气系统，产生的有机废气经集气罩集中收集后，引至等离子</t>
    </r>
    <r>
      <rPr>
        <sz val="10.5"/>
        <color theme="1"/>
        <rFont val="Times New Roman"/>
        <family val="1"/>
      </rPr>
      <t>+</t>
    </r>
    <r>
      <rPr>
        <sz val="10.5"/>
        <color theme="1"/>
        <rFont val="宋体"/>
        <family val="3"/>
        <charset val="134"/>
      </rPr>
      <t>活性炭处理设施处理后于</t>
    </r>
    <r>
      <rPr>
        <sz val="10.5"/>
        <color theme="1"/>
        <rFont val="Times New Roman"/>
        <family val="1"/>
      </rPr>
      <t>15m</t>
    </r>
    <r>
      <rPr>
        <sz val="10.5"/>
        <color theme="1"/>
        <rFont val="宋体"/>
        <family val="3"/>
        <charset val="134"/>
      </rPr>
      <t>高排气筒排放，其产生及排放情况如表</t>
    </r>
    <r>
      <rPr>
        <sz val="10.5"/>
        <color theme="1"/>
        <rFont val="Times New Roman"/>
        <family val="1"/>
      </rPr>
      <t>5-1</t>
    </r>
    <r>
      <rPr>
        <sz val="10.5"/>
        <color theme="1"/>
        <rFont val="宋体"/>
        <family val="3"/>
        <charset val="134"/>
      </rPr>
      <t>所示。</t>
    </r>
  </si>
  <si>
    <r>
      <t>本报告要求项目挤出工序设置集气、排气系统，产生的有机废气经集气罩集中收集后，引至等离子+</t>
    </r>
    <r>
      <rPr>
        <sz val="10.5"/>
        <color theme="1"/>
        <rFont val="宋体"/>
        <family val="3"/>
        <charset val="134"/>
      </rPr>
      <t>活性炭处理后于</t>
    </r>
    <r>
      <rPr>
        <sz val="10.5"/>
        <color theme="1"/>
        <rFont val="Times New Roman"/>
        <family val="1"/>
      </rPr>
      <t>15m</t>
    </r>
    <r>
      <rPr>
        <sz val="10.5"/>
        <color theme="1"/>
        <rFont val="宋体"/>
        <family val="3"/>
        <charset val="134"/>
      </rPr>
      <t>高排气筒排放。在低温等离子设备的停留时间约</t>
    </r>
    <r>
      <rPr>
        <sz val="10.5"/>
        <color theme="1"/>
        <rFont val="Times New Roman"/>
        <family val="1"/>
      </rPr>
      <t>2s</t>
    </r>
    <r>
      <rPr>
        <sz val="10.5"/>
        <color theme="1"/>
        <rFont val="宋体"/>
        <family val="3"/>
        <charset val="134"/>
      </rPr>
      <t>，</t>
    </r>
    <r>
      <rPr>
        <sz val="10.5"/>
        <color rgb="FFFF0000"/>
        <rFont val="宋体"/>
        <family val="3"/>
        <charset val="134"/>
      </rPr>
      <t>处理风量设为</t>
    </r>
    <r>
      <rPr>
        <sz val="10.5"/>
        <color rgb="FFFF0000"/>
        <rFont val="Times New Roman"/>
        <family val="1"/>
      </rPr>
      <t>8000m3/h</t>
    </r>
    <r>
      <rPr>
        <sz val="10.5"/>
        <color rgb="FFFF0000"/>
        <rFont val="宋体"/>
        <family val="3"/>
        <charset val="134"/>
      </rPr>
      <t>，</t>
    </r>
    <r>
      <rPr>
        <sz val="10.5"/>
        <color theme="1"/>
        <rFont val="宋体"/>
        <family val="3"/>
        <charset val="134"/>
      </rPr>
      <t>交流电压为</t>
    </r>
    <r>
      <rPr>
        <sz val="10.5"/>
        <color theme="1"/>
        <rFont val="Times New Roman"/>
        <family val="1"/>
      </rPr>
      <t>4-12kV</t>
    </r>
    <r>
      <rPr>
        <sz val="10.5"/>
        <color theme="1"/>
        <rFont val="宋体"/>
        <family val="3"/>
        <charset val="134"/>
      </rPr>
      <t>，能耗为</t>
    </r>
    <r>
      <rPr>
        <sz val="10.5"/>
        <color theme="1"/>
        <rFont val="Times New Roman"/>
        <family val="1"/>
      </rPr>
      <t>20kW/10000m3</t>
    </r>
    <r>
      <rPr>
        <sz val="10.5"/>
        <color theme="1"/>
        <rFont val="宋体"/>
        <family val="3"/>
        <charset val="134"/>
      </rPr>
      <t>。根据《广东省印刷行业挥发性有机化合物废气治理技术指南》，处理每</t>
    </r>
    <r>
      <rPr>
        <sz val="10.5"/>
        <color theme="1"/>
        <rFont val="Times New Roman"/>
        <family val="1"/>
      </rPr>
      <t>10000m3/h</t>
    </r>
    <r>
      <rPr>
        <sz val="10.5"/>
        <color theme="1"/>
        <rFont val="宋体"/>
        <family val="3"/>
        <charset val="134"/>
      </rPr>
      <t>风量的废气，低温等离子体治理设施的功率为</t>
    </r>
    <r>
      <rPr>
        <sz val="10.5"/>
        <color theme="1"/>
        <rFont val="Times New Roman"/>
        <family val="1"/>
      </rPr>
      <t>20~50kW</t>
    </r>
    <r>
      <rPr>
        <sz val="10.5"/>
        <color theme="1"/>
        <rFont val="宋体"/>
        <family val="3"/>
        <charset val="134"/>
      </rPr>
      <t>；而根据低温等离子体治理设施处理效率影响因素分析的相关文献类比分析可知，有机废气处理效率达到</t>
    </r>
    <r>
      <rPr>
        <sz val="10.5"/>
        <color theme="1"/>
        <rFont val="Times New Roman"/>
        <family val="1"/>
      </rPr>
      <t>50~90%</t>
    </r>
    <r>
      <rPr>
        <sz val="10.5"/>
        <color theme="1"/>
        <rFont val="宋体"/>
        <family val="3"/>
        <charset val="134"/>
      </rPr>
      <t>之间，需要</t>
    </r>
    <r>
      <rPr>
        <sz val="10.5"/>
        <color theme="1"/>
        <rFont val="Times New Roman"/>
        <family val="1"/>
      </rPr>
      <t>1~2s</t>
    </r>
    <r>
      <rPr>
        <sz val="10.5"/>
        <color theme="1"/>
        <rFont val="宋体"/>
        <family val="3"/>
        <charset val="134"/>
      </rPr>
      <t>的停留时间。当低温等离子设备处理效率不低于</t>
    </r>
    <r>
      <rPr>
        <sz val="10.5"/>
        <color theme="1"/>
        <rFont val="Times New Roman"/>
        <family val="1"/>
      </rPr>
      <t>70%</t>
    </r>
    <r>
      <rPr>
        <sz val="10.5"/>
        <color theme="1"/>
        <rFont val="宋体"/>
        <family val="3"/>
        <charset val="134"/>
      </rPr>
      <t>，活性炭吸附效率不低于</t>
    </r>
    <r>
      <rPr>
        <sz val="10.5"/>
        <color theme="1"/>
        <rFont val="Times New Roman"/>
        <family val="1"/>
      </rPr>
      <t>70%</t>
    </r>
    <r>
      <rPr>
        <sz val="10.5"/>
        <color theme="1"/>
        <rFont val="宋体"/>
        <family val="3"/>
        <charset val="134"/>
      </rPr>
      <t>时，可保证低温等离子体</t>
    </r>
    <r>
      <rPr>
        <sz val="10.5"/>
        <color theme="1"/>
        <rFont val="Times New Roman"/>
        <family val="1"/>
      </rPr>
      <t>+</t>
    </r>
    <r>
      <rPr>
        <sz val="10.5"/>
        <color theme="1"/>
        <rFont val="宋体"/>
        <family val="3"/>
        <charset val="134"/>
      </rPr>
      <t>活性炭装置的处理效率</t>
    </r>
    <r>
      <rPr>
        <sz val="10.5"/>
        <color theme="1"/>
        <rFont val="Times New Roman"/>
        <family val="1"/>
      </rPr>
      <t>≥90%</t>
    </r>
    <r>
      <rPr>
        <sz val="10.5"/>
        <color theme="1"/>
        <rFont val="宋体"/>
        <family val="3"/>
        <charset val="134"/>
      </rPr>
      <t>。因此，在保证能耗和停留时间的条件下，项目选用低温等离子体</t>
    </r>
    <r>
      <rPr>
        <sz val="10.5"/>
        <color theme="1"/>
        <rFont val="Times New Roman"/>
        <family val="1"/>
      </rPr>
      <t>+</t>
    </r>
    <r>
      <rPr>
        <sz val="10.5"/>
        <color theme="1"/>
        <rFont val="宋体"/>
        <family val="3"/>
        <charset val="134"/>
      </rPr>
      <t>活性炭吸附装置能够满足处理工艺的要求。项目废气收集效率取</t>
    </r>
    <r>
      <rPr>
        <sz val="10.5"/>
        <color theme="1"/>
        <rFont val="Times New Roman"/>
        <family val="1"/>
      </rPr>
      <t>90%</t>
    </r>
    <r>
      <rPr>
        <sz val="10.5"/>
        <color theme="1"/>
        <rFont val="宋体"/>
        <family val="3"/>
        <charset val="134"/>
      </rPr>
      <t>，剩余</t>
    </r>
    <r>
      <rPr>
        <sz val="10.5"/>
        <color theme="1"/>
        <rFont val="Times New Roman"/>
        <family val="1"/>
      </rPr>
      <t>10%</t>
    </r>
    <r>
      <rPr>
        <sz val="10.5"/>
        <color theme="1"/>
        <rFont val="宋体"/>
        <family val="3"/>
        <charset val="134"/>
      </rPr>
      <t>为无组织形式排放。因此，项目挤出工序产生的有机废气经收集后通过</t>
    </r>
    <r>
      <rPr>
        <sz val="10.5"/>
        <color theme="1"/>
        <rFont val="Times New Roman"/>
        <family val="1"/>
      </rPr>
      <t>“</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处理达标后引至</t>
    </r>
    <r>
      <rPr>
        <sz val="10.5"/>
        <color theme="1"/>
        <rFont val="Times New Roman"/>
        <family val="1"/>
      </rPr>
      <t>15m</t>
    </r>
    <r>
      <rPr>
        <sz val="10.5"/>
        <color theme="1"/>
        <rFont val="宋体"/>
        <family val="3"/>
        <charset val="134"/>
      </rPr>
      <t>排气筒排放，经核算</t>
    </r>
    <r>
      <rPr>
        <sz val="10.5"/>
        <color rgb="FFFF0000"/>
        <rFont val="宋体"/>
        <family val="3"/>
        <charset val="134"/>
      </rPr>
      <t>排气筒的排放浓度</t>
    </r>
    <r>
      <rPr>
        <sz val="10.5"/>
        <color rgb="FFFF0000"/>
        <rFont val="Times New Roman"/>
        <family val="1"/>
      </rPr>
      <t>3.97mg/m3</t>
    </r>
    <r>
      <rPr>
        <sz val="10.5"/>
        <color rgb="FFFF0000"/>
        <rFont val="宋体"/>
        <family val="3"/>
        <charset val="134"/>
      </rPr>
      <t>和排放速率</t>
    </r>
    <r>
      <rPr>
        <sz val="10.5"/>
        <color rgb="FFFF0000"/>
        <rFont val="Times New Roman"/>
        <family val="1"/>
      </rPr>
      <t>0.064kg/h</t>
    </r>
    <r>
      <rPr>
        <sz val="10.5"/>
        <color theme="1"/>
        <rFont val="宋体"/>
        <family val="3"/>
        <charset val="134"/>
      </rPr>
      <t>，可达到《合成树脂工业污染物排放标准》（</t>
    </r>
    <r>
      <rPr>
        <sz val="10.5"/>
        <color theme="1"/>
        <rFont val="Times New Roman"/>
        <family val="1"/>
      </rPr>
      <t>GB31572-2015</t>
    </r>
    <r>
      <rPr>
        <sz val="10.5"/>
        <color theme="1"/>
        <rFont val="宋体"/>
        <family val="3"/>
        <charset val="134"/>
      </rPr>
      <t>）中非甲烷总烃的相关标准，对周围环境和敏感点影响不大。</t>
    </r>
  </si>
  <si>
    <r>
      <rPr>
        <b/>
        <sz val="10.5"/>
        <color theme="1"/>
        <rFont val="宋体"/>
        <family val="3"/>
        <charset val="134"/>
      </rPr>
      <t>吸塑过程产生的</t>
    </r>
    <r>
      <rPr>
        <b/>
        <sz val="10.5"/>
        <color theme="1"/>
        <rFont val="Times New Roman"/>
        <family val="1"/>
      </rPr>
      <t>VOCs</t>
    </r>
    <r>
      <rPr>
        <b/>
        <sz val="10.5"/>
        <color theme="1"/>
        <rFont val="宋体"/>
        <family val="3"/>
        <charset val="134"/>
      </rPr>
      <t>（其他塑料</t>
    </r>
    <r>
      <rPr>
        <b/>
        <sz val="10.5"/>
        <color theme="1"/>
        <rFont val="Times New Roman"/>
        <family val="1"/>
      </rPr>
      <t>+PVC</t>
    </r>
    <r>
      <rPr>
        <b/>
        <sz val="10.5"/>
        <color theme="1"/>
        <rFont val="宋体"/>
        <family val="3"/>
        <charset val="134"/>
      </rPr>
      <t>）</t>
    </r>
    <phoneticPr fontId="6" type="noConversion"/>
  </si>
  <si>
    <t>搅拌</t>
  </si>
  <si>
    <t>分散搅拌过程产生的有机废气</t>
  </si>
  <si>
    <r>
      <t>项目大气污染物来自生产环保组合聚醚生产工序内所排放有机废气（VOCs</t>
    </r>
    <r>
      <rPr>
        <sz val="10.5"/>
        <color theme="1"/>
        <rFont val="宋体"/>
        <family val="3"/>
        <charset val="134"/>
      </rPr>
      <t>）。根据《顺德区环境运输和城市管理局转发关于印发</t>
    </r>
    <r>
      <rPr>
        <sz val="10.5"/>
        <color theme="1"/>
        <rFont val="Times New Roman"/>
        <family val="1"/>
      </rPr>
      <t xml:space="preserve"> 2014 </t>
    </r>
    <r>
      <rPr>
        <sz val="10.5"/>
        <color theme="1"/>
        <rFont val="宋体"/>
        <family val="3"/>
        <charset val="134"/>
      </rPr>
      <t>年佛山市陶瓷行业、玻璃制造行业、</t>
    </r>
    <r>
      <rPr>
        <sz val="10.5"/>
        <color theme="1"/>
        <rFont val="Times New Roman"/>
        <family val="1"/>
      </rPr>
      <t xml:space="preserve"> </t>
    </r>
    <r>
      <rPr>
        <sz val="10.5"/>
        <color theme="1"/>
        <rFont val="宋体"/>
        <family val="3"/>
        <charset val="134"/>
      </rPr>
      <t>铝型材行业和</t>
    </r>
    <r>
      <rPr>
        <sz val="10.5"/>
        <color theme="1"/>
        <rFont val="Times New Roman"/>
        <family val="1"/>
      </rPr>
      <t xml:space="preserve">VOCs </t>
    </r>
    <r>
      <rPr>
        <sz val="10.5"/>
        <color theme="1"/>
        <rFont val="宋体"/>
        <family val="3"/>
        <charset val="134"/>
      </rPr>
      <t>排放企业</t>
    </r>
    <r>
      <rPr>
        <sz val="10.5"/>
        <color theme="1"/>
        <rFont val="Times New Roman"/>
        <family val="1"/>
      </rPr>
      <t xml:space="preserve"> </t>
    </r>
    <r>
      <rPr>
        <sz val="10.5"/>
        <color theme="1"/>
        <rFont val="宋体"/>
        <family val="3"/>
        <charset val="134"/>
      </rPr>
      <t>整治方案的通知》（顺管函</t>
    </r>
    <r>
      <rPr>
        <sz val="10.5"/>
        <color theme="1"/>
        <rFont val="Times New Roman"/>
        <family val="1"/>
      </rPr>
      <t>[2014]510</t>
    </r>
    <r>
      <rPr>
        <sz val="10.5"/>
        <color theme="1"/>
        <rFont val="宋体"/>
        <family val="3"/>
        <charset val="134"/>
      </rPr>
      <t>号），</t>
    </r>
    <r>
      <rPr>
        <sz val="10.5"/>
        <color theme="1"/>
        <rFont val="Times New Roman"/>
        <family val="1"/>
      </rPr>
      <t>VOCs</t>
    </r>
    <r>
      <rPr>
        <sz val="10.5"/>
        <color theme="1"/>
        <rFont val="宋体"/>
        <family val="3"/>
        <charset val="134"/>
      </rPr>
      <t>参照广东省地方标准《家具制造业挥发性有机化合物排放标准》（</t>
    </r>
    <r>
      <rPr>
        <sz val="10.5"/>
        <color theme="1"/>
        <rFont val="Times New Roman"/>
        <family val="1"/>
      </rPr>
      <t>DB44/814-2010</t>
    </r>
    <r>
      <rPr>
        <sz val="10.5"/>
        <color theme="1"/>
        <rFont val="宋体"/>
        <family val="3"/>
        <charset val="134"/>
      </rPr>
      <t>）中Ⅱ时段排放限值。</t>
    </r>
  </si>
  <si>
    <r>
      <t>项目生产各类环保组合聚醚过程中使用的搅拌缸为密闭式搅拌缸，分散、搅拌过程全密闭，因此本项目废气排放主要来源于搅拌缸投料和卸料时开盖挥发出的有机废气，污染因子为VOCs</t>
    </r>
    <r>
      <rPr>
        <sz val="10.5"/>
        <color theme="1"/>
        <rFont val="宋体"/>
        <family val="3"/>
        <charset val="134"/>
      </rPr>
      <t>。项目投料和卸料开盖挥发出的有机废气经集气罩收集后引至</t>
    </r>
    <r>
      <rPr>
        <sz val="10.5"/>
        <color theme="1"/>
        <rFont val="Times New Roman"/>
        <family val="1"/>
      </rPr>
      <t>15</t>
    </r>
    <r>
      <rPr>
        <sz val="10.5"/>
        <color theme="1"/>
        <rFont val="宋体"/>
        <family val="3"/>
        <charset val="134"/>
      </rPr>
      <t>米排气筒（</t>
    </r>
    <r>
      <rPr>
        <sz val="10.5"/>
        <color theme="1"/>
        <rFont val="Times New Roman"/>
        <family val="1"/>
      </rPr>
      <t>1#</t>
    </r>
    <r>
      <rPr>
        <sz val="10.5"/>
        <color theme="1"/>
        <rFont val="宋体"/>
        <family val="3"/>
        <charset val="134"/>
      </rPr>
      <t>）排放。</t>
    </r>
    <r>
      <rPr>
        <sz val="10.5"/>
        <color theme="1"/>
        <rFont val="Times New Roman"/>
        <family val="1"/>
      </rPr>
      <t xml:space="preserve">
</t>
    </r>
    <r>
      <rPr>
        <sz val="10.5"/>
        <color theme="1"/>
        <rFont val="宋体"/>
        <family val="3"/>
        <charset val="134"/>
      </rPr>
      <t>项目生产各类环保组合聚醚过程中，仅发生物理混合作用，原材料间不发生化学反应，而由于设备投料和卸料过程开盖，会使少量的原材料发生挥发（主要为</t>
    </r>
    <r>
      <rPr>
        <sz val="10.5"/>
        <color theme="1"/>
        <rFont val="Times New Roman"/>
        <family val="1"/>
      </rPr>
      <t>245fa</t>
    </r>
    <r>
      <rPr>
        <sz val="10.5"/>
        <color theme="1"/>
        <rFont val="宋体"/>
        <family val="3"/>
        <charset val="134"/>
      </rPr>
      <t>、乙酸钾等，根据附件</t>
    </r>
    <r>
      <rPr>
        <sz val="10.5"/>
        <color theme="1"/>
        <rFont val="Times New Roman"/>
        <family val="1"/>
      </rPr>
      <t>6</t>
    </r>
    <r>
      <rPr>
        <sz val="10.5"/>
        <color theme="1"/>
        <rFont val="宋体"/>
        <family val="3"/>
        <charset val="134"/>
      </rPr>
      <t>原辅材料的物化性质可知，项目原辅材料在常温常压下性质较稳定，单批次用量较少，挥发较少），根据企业实验室对两种产品按照配方模拟生产工艺的实验，测试各产品在模拟生产过程时的挥发损失情况，经测试环保组合聚醚的挥发系数约为</t>
    </r>
    <r>
      <rPr>
        <sz val="10.5"/>
        <color theme="1"/>
        <rFont val="Times New Roman"/>
        <family val="1"/>
      </rPr>
      <t>0.01%</t>
    </r>
    <r>
      <rPr>
        <sz val="10.5"/>
        <color theme="1"/>
        <rFont val="宋体"/>
        <family val="3"/>
        <charset val="134"/>
      </rPr>
      <t>计算（实验方法见表</t>
    </r>
    <r>
      <rPr>
        <sz val="10.5"/>
        <color theme="1"/>
        <rFont val="Times New Roman"/>
        <family val="1"/>
      </rPr>
      <t>5.2</t>
    </r>
    <r>
      <rPr>
        <sz val="10.5"/>
        <color theme="1"/>
        <rFont val="宋体"/>
        <family val="3"/>
        <charset val="134"/>
      </rPr>
      <t>），本项目将所有设备同时运作的情况下视为最大负荷生产情况。</t>
    </r>
    <r>
      <rPr>
        <sz val="10.5"/>
        <color theme="1"/>
        <rFont val="Times New Roman"/>
        <family val="1"/>
      </rPr>
      <t>VOCs</t>
    </r>
    <r>
      <rPr>
        <sz val="10.5"/>
        <color theme="1"/>
        <rFont val="宋体"/>
        <family val="3"/>
        <charset val="134"/>
      </rPr>
      <t>挥发量按实验所测得的挥发系数计算，有机废气经搅拌缸上方的集气罩收集后通过</t>
    </r>
    <r>
      <rPr>
        <sz val="10.5"/>
        <color theme="1"/>
        <rFont val="Times New Roman"/>
        <family val="1"/>
      </rPr>
      <t>1#</t>
    </r>
    <r>
      <rPr>
        <sz val="10.5"/>
        <color theme="1"/>
        <rFont val="宋体"/>
        <family val="3"/>
        <charset val="134"/>
      </rPr>
      <t>排气筒排放，处理风量为</t>
    </r>
    <r>
      <rPr>
        <sz val="10.5"/>
        <color theme="1"/>
        <rFont val="Times New Roman"/>
        <family val="1"/>
      </rPr>
      <t>10000m3/h</t>
    </r>
    <r>
      <rPr>
        <sz val="10.5"/>
        <color theme="1"/>
        <rFont val="宋体"/>
        <family val="3"/>
        <charset val="134"/>
      </rPr>
      <t>，集气罩收集效率为</t>
    </r>
    <r>
      <rPr>
        <sz val="10.5"/>
        <color theme="1"/>
        <rFont val="Times New Roman"/>
        <family val="1"/>
      </rPr>
      <t>90%</t>
    </r>
    <r>
      <rPr>
        <sz val="10.5"/>
        <color theme="1"/>
        <rFont val="宋体"/>
        <family val="3"/>
        <charset val="134"/>
      </rPr>
      <t>，同时核算项目有机废气年产生和排放量。</t>
    </r>
    <r>
      <rPr>
        <sz val="10.5"/>
        <color theme="1"/>
        <rFont val="Times New Roman"/>
        <family val="1"/>
      </rPr>
      <t xml:space="preserve">
</t>
    </r>
  </si>
  <si>
    <r>
      <t xml:space="preserve">项目生产过程中大气污染主要为分散、搅拌过程产生的有机废气。
</t>
    </r>
    <r>
      <rPr>
        <sz val="10.5"/>
        <color theme="1"/>
        <rFont val="宋体"/>
        <family val="3"/>
        <charset val="134"/>
      </rPr>
      <t>分散、搅拌有机废气。项目生产各类环保组合聚醚过程中会挥发少量的有机废气，有机废气经搅拌缸上方的集气罩收集后通过</t>
    </r>
    <r>
      <rPr>
        <sz val="10.5"/>
        <color theme="1"/>
        <rFont val="Times New Roman"/>
        <family val="1"/>
      </rPr>
      <t>1#</t>
    </r>
    <r>
      <rPr>
        <sz val="10.5"/>
        <color theme="1"/>
        <rFont val="宋体"/>
        <family val="3"/>
        <charset val="134"/>
      </rPr>
      <t>排气筒排放，收集效率为</t>
    </r>
    <r>
      <rPr>
        <sz val="10.5"/>
        <color theme="1"/>
        <rFont val="Times New Roman"/>
        <family val="1"/>
      </rPr>
      <t>90%</t>
    </r>
    <r>
      <rPr>
        <sz val="10.5"/>
        <color theme="1"/>
        <rFont val="宋体"/>
        <family val="3"/>
        <charset val="134"/>
      </rPr>
      <t>，经工程分析核算，有组织排放量为</t>
    </r>
    <r>
      <rPr>
        <sz val="10.5"/>
        <color theme="1"/>
        <rFont val="Times New Roman"/>
        <family val="1"/>
      </rPr>
      <t>0.04kg/h</t>
    </r>
    <r>
      <rPr>
        <sz val="10.5"/>
        <color theme="1"/>
        <rFont val="宋体"/>
        <family val="3"/>
        <charset val="134"/>
      </rPr>
      <t>，</t>
    </r>
    <r>
      <rPr>
        <sz val="10.5"/>
        <color theme="1"/>
        <rFont val="Times New Roman"/>
        <family val="1"/>
      </rPr>
      <t>0.0945t/a</t>
    </r>
    <r>
      <rPr>
        <sz val="10.5"/>
        <color theme="1"/>
        <rFont val="宋体"/>
        <family val="3"/>
        <charset val="134"/>
      </rPr>
      <t>，排放浓度为</t>
    </r>
    <r>
      <rPr>
        <sz val="10.5"/>
        <color theme="1"/>
        <rFont val="Times New Roman"/>
        <family val="1"/>
      </rPr>
      <t>3.94mg/m3,</t>
    </r>
    <r>
      <rPr>
        <sz val="10.5"/>
        <color theme="1"/>
        <rFont val="宋体"/>
        <family val="3"/>
        <charset val="134"/>
      </rPr>
      <t>无组织排放量为</t>
    </r>
    <r>
      <rPr>
        <sz val="10.5"/>
        <color theme="1"/>
        <rFont val="Times New Roman"/>
        <family val="1"/>
      </rPr>
      <t>0.0105t/a</t>
    </r>
    <r>
      <rPr>
        <sz val="10.5"/>
        <color theme="1"/>
        <rFont val="宋体"/>
        <family val="3"/>
        <charset val="134"/>
      </rPr>
      <t>，厂界排放浓度为</t>
    </r>
    <r>
      <rPr>
        <sz val="10.5"/>
        <color theme="1"/>
        <rFont val="Times New Roman"/>
        <family val="1"/>
      </rPr>
      <t>0.0004mg/m3</t>
    </r>
    <r>
      <rPr>
        <sz val="10.5"/>
        <color theme="1"/>
        <rFont val="宋体"/>
        <family val="3"/>
        <charset val="134"/>
      </rPr>
      <t>，满足《家具制造行业挥发性有机化合物排放标准（</t>
    </r>
    <r>
      <rPr>
        <sz val="10.5"/>
        <color theme="1"/>
        <rFont val="Times New Roman"/>
        <family val="1"/>
      </rPr>
      <t>DB44/814-2010</t>
    </r>
    <r>
      <rPr>
        <sz val="10.5"/>
        <color theme="1"/>
        <rFont val="宋体"/>
        <family val="3"/>
        <charset val="134"/>
      </rPr>
      <t>）》第二时段标准，对环境影响不大。</t>
    </r>
    <r>
      <rPr>
        <sz val="10.5"/>
        <color theme="1"/>
        <rFont val="Times New Roman"/>
        <family val="1"/>
      </rPr>
      <t xml:space="preserve">
</t>
    </r>
  </si>
  <si>
    <r>
      <t>经集气罩收集后通过15</t>
    </r>
    <r>
      <rPr>
        <sz val="10.5"/>
        <color theme="1"/>
        <rFont val="宋体"/>
        <family val="3"/>
        <charset val="134"/>
      </rPr>
      <t>米排气筒排放（</t>
    </r>
    <r>
      <rPr>
        <sz val="10.5"/>
        <color theme="1"/>
        <rFont val="Times New Roman"/>
        <family val="1"/>
      </rPr>
      <t>1#</t>
    </r>
    <r>
      <rPr>
        <sz val="10.5"/>
        <color theme="1"/>
        <rFont val="宋体"/>
        <family val="3"/>
        <charset val="134"/>
      </rPr>
      <t>排气筒）</t>
    </r>
  </si>
  <si>
    <t>分散</t>
  </si>
  <si>
    <t>反应</t>
  </si>
  <si>
    <t>胶</t>
  </si>
  <si>
    <t>喷枪</t>
  </si>
  <si>
    <t>喷胶过程产生的有机废气（水性胶水）</t>
    <phoneticPr fontId="6" type="noConversion"/>
  </si>
  <si>
    <r>
      <t>喷胶过程中产生的有机废气执行《家具制造行业挥发性有机化合物排放标准（DB44/814-2010</t>
    </r>
    <r>
      <rPr>
        <sz val="10.5"/>
        <color theme="1"/>
        <rFont val="宋体"/>
        <family val="3"/>
        <charset val="134"/>
      </rPr>
      <t>）》相应标准。</t>
    </r>
  </si>
  <si>
    <r>
      <t>项目喷胶需要用胶水。项目年用胶水1</t>
    </r>
    <r>
      <rPr>
        <sz val="10.5"/>
        <color theme="1"/>
        <rFont val="宋体"/>
        <family val="3"/>
        <charset val="134"/>
      </rPr>
      <t>吨，每天喷胶时间为</t>
    </r>
    <r>
      <rPr>
        <sz val="10.5"/>
        <color theme="1"/>
        <rFont val="Times New Roman"/>
        <family val="1"/>
      </rPr>
      <t>5h</t>
    </r>
    <r>
      <rPr>
        <sz val="10.5"/>
        <color theme="1"/>
        <rFont val="宋体"/>
        <family val="3"/>
        <charset val="134"/>
      </rPr>
      <t>，每小时胶水用量为</t>
    </r>
    <r>
      <rPr>
        <sz val="10.5"/>
        <color theme="1"/>
        <rFont val="Times New Roman"/>
        <family val="1"/>
      </rPr>
      <t>0.67kg</t>
    </r>
    <r>
      <rPr>
        <sz val="10.5"/>
        <color theme="1"/>
        <rFont val="宋体"/>
        <family val="3"/>
        <charset val="134"/>
      </rPr>
      <t>。项目使用水性胶水，根据企业提供的水性胶</t>
    </r>
    <r>
      <rPr>
        <sz val="10.5"/>
        <color theme="1"/>
        <rFont val="Times New Roman"/>
        <family val="1"/>
      </rPr>
      <t>MSDSD</t>
    </r>
    <r>
      <rPr>
        <sz val="10.5"/>
        <color theme="1"/>
        <rFont val="宋体"/>
        <family val="3"/>
        <charset val="134"/>
      </rPr>
      <t>，其</t>
    </r>
    <r>
      <rPr>
        <sz val="10.5"/>
        <color theme="1"/>
        <rFont val="Times New Roman"/>
        <family val="1"/>
      </rPr>
      <t>VOCs</t>
    </r>
    <r>
      <rPr>
        <sz val="10.5"/>
        <color theme="1"/>
        <rFont val="宋体"/>
        <family val="3"/>
        <charset val="134"/>
      </rPr>
      <t>挥发量按</t>
    </r>
    <r>
      <rPr>
        <sz val="10.5"/>
        <color theme="1"/>
        <rFont val="Times New Roman"/>
        <family val="1"/>
      </rPr>
      <t>10%</t>
    </r>
    <r>
      <rPr>
        <sz val="10.5"/>
        <color theme="1"/>
        <rFont val="宋体"/>
        <family val="3"/>
        <charset val="134"/>
      </rPr>
      <t>算，则总</t>
    </r>
    <r>
      <rPr>
        <sz val="10.5"/>
        <color theme="1"/>
        <rFont val="Times New Roman"/>
        <family val="1"/>
      </rPr>
      <t>VOCs</t>
    </r>
    <r>
      <rPr>
        <sz val="10.5"/>
        <color theme="1"/>
        <rFont val="宋体"/>
        <family val="3"/>
        <charset val="134"/>
      </rPr>
      <t>产生量为</t>
    </r>
    <r>
      <rPr>
        <sz val="10.5"/>
        <color theme="1"/>
        <rFont val="Times New Roman"/>
        <family val="1"/>
      </rPr>
      <t>100kg/a</t>
    </r>
    <r>
      <rPr>
        <sz val="10.5"/>
        <color theme="1"/>
        <rFont val="宋体"/>
        <family val="3"/>
        <charset val="134"/>
      </rPr>
      <t>，产生速率为</t>
    </r>
    <r>
      <rPr>
        <sz val="10.5"/>
        <color theme="1"/>
        <rFont val="Times New Roman"/>
        <family val="1"/>
      </rPr>
      <t>0.11kg/h</t>
    </r>
    <r>
      <rPr>
        <sz val="10.5"/>
        <color theme="1"/>
        <rFont val="宋体"/>
        <family val="3"/>
        <charset val="134"/>
      </rPr>
      <t>。企业拟设置集气罩将喷胶废气收集通过</t>
    </r>
    <r>
      <rPr>
        <sz val="10.5"/>
        <color theme="1"/>
        <rFont val="Times New Roman"/>
        <family val="1"/>
      </rPr>
      <t>15m</t>
    </r>
    <r>
      <rPr>
        <sz val="10.5"/>
        <color theme="1"/>
        <rFont val="宋体"/>
        <family val="3"/>
        <charset val="134"/>
      </rPr>
      <t>排气筒排放。</t>
    </r>
  </si>
  <si>
    <r>
      <t>项目喷胶采用水性胶水，因喷胶量较少，，VOCs</t>
    </r>
    <r>
      <rPr>
        <sz val="10.5"/>
        <color theme="1"/>
        <rFont val="宋体"/>
        <family val="3"/>
        <charset val="134"/>
      </rPr>
      <t>经集气罩收集后引至</t>
    </r>
    <r>
      <rPr>
        <sz val="10.5"/>
        <color theme="1"/>
        <rFont val="Times New Roman"/>
        <family val="1"/>
      </rPr>
      <t>15m</t>
    </r>
    <r>
      <rPr>
        <sz val="10.5"/>
        <color theme="1"/>
        <rFont val="宋体"/>
        <family val="3"/>
        <charset val="134"/>
      </rPr>
      <t>排气筒排放，项目采用环保水性胶，使用量不大，可达标排放。排放量为</t>
    </r>
    <r>
      <rPr>
        <sz val="10.5"/>
        <color theme="1"/>
        <rFont val="Times New Roman"/>
        <family val="1"/>
      </rPr>
      <t>90kg/a</t>
    </r>
    <r>
      <rPr>
        <sz val="10.5"/>
        <color theme="1"/>
        <rFont val="宋体"/>
        <family val="3"/>
        <charset val="134"/>
      </rPr>
      <t>，排放浓度为</t>
    </r>
    <r>
      <rPr>
        <sz val="10.5"/>
        <color theme="1"/>
        <rFont val="Times New Roman"/>
        <family val="1"/>
      </rPr>
      <t>13.4mg/m3,</t>
    </r>
    <r>
      <rPr>
        <sz val="10.5"/>
        <color theme="1"/>
        <rFont val="宋体"/>
        <family val="3"/>
        <charset val="134"/>
      </rPr>
      <t>可达到《家具制造行业挥发性有机化合物排放标准（</t>
    </r>
    <r>
      <rPr>
        <sz val="10.5"/>
        <color theme="1"/>
        <rFont val="Times New Roman"/>
        <family val="1"/>
      </rPr>
      <t>DB44/814-2010</t>
    </r>
    <r>
      <rPr>
        <sz val="10.5"/>
        <color theme="1"/>
        <rFont val="宋体"/>
        <family val="3"/>
        <charset val="134"/>
      </rPr>
      <t>）》有组织排放标准（第Ⅱ时段），对周围环境影响不明显。</t>
    </r>
  </si>
  <si>
    <r>
      <t>经集气罩收集后通过一个不低于15m</t>
    </r>
    <r>
      <rPr>
        <sz val="10.5"/>
        <color theme="1"/>
        <rFont val="宋体"/>
        <family val="3"/>
        <charset val="134"/>
      </rPr>
      <t>的排气筒排放</t>
    </r>
  </si>
  <si>
    <t>脱模剂</t>
  </si>
  <si>
    <t>压铸烟尘和油雾</t>
  </si>
  <si>
    <r>
      <t xml:space="preserve">根据《顺德区环境运输和城市管理局转发关于印发2014 </t>
    </r>
    <r>
      <rPr>
        <sz val="10.5"/>
        <color theme="1"/>
        <rFont val="宋体"/>
        <family val="3"/>
        <charset val="134"/>
      </rPr>
      <t>年佛山市陶瓷行、玻璃制造行业、铝型材行业和</t>
    </r>
    <r>
      <rPr>
        <sz val="10.5"/>
        <color theme="1"/>
        <rFont val="Times New Roman"/>
        <family val="1"/>
      </rPr>
      <t xml:space="preserve">VOCs </t>
    </r>
    <r>
      <rPr>
        <sz val="10.5"/>
        <color theme="1"/>
        <rFont val="宋体"/>
        <family val="3"/>
        <charset val="134"/>
      </rPr>
      <t>排放企业整治方案的通知</t>
    </r>
    <r>
      <rPr>
        <sz val="10.5"/>
        <color theme="1"/>
        <rFont val="Times New Roman"/>
        <family val="1"/>
      </rPr>
      <t xml:space="preserve"> </t>
    </r>
    <r>
      <rPr>
        <sz val="10.5"/>
        <color theme="1"/>
        <rFont val="宋体"/>
        <family val="3"/>
        <charset val="134"/>
      </rPr>
      <t>》（顺管函</t>
    </r>
    <r>
      <rPr>
        <sz val="10.5"/>
        <color theme="1"/>
        <rFont val="Times New Roman"/>
        <family val="1"/>
      </rPr>
      <t>[2014]510</t>
    </r>
    <r>
      <rPr>
        <sz val="10.5"/>
        <color theme="1"/>
        <rFont val="宋体"/>
        <family val="3"/>
        <charset val="134"/>
      </rPr>
      <t>号），</t>
    </r>
    <r>
      <rPr>
        <sz val="10.5"/>
        <color theme="1"/>
        <rFont val="Times New Roman"/>
        <family val="1"/>
      </rPr>
      <t>“</t>
    </r>
    <r>
      <rPr>
        <sz val="10.5"/>
        <color theme="1"/>
        <rFont val="宋体"/>
        <family val="3"/>
        <charset val="134"/>
      </rPr>
      <t>在国家、省未出台行业标准前，金属制品、铝型材、设备制造行业参照执行《表面涂装</t>
    </r>
    <r>
      <rPr>
        <sz val="10.5"/>
        <color theme="1"/>
        <rFont val="Times New Roman"/>
        <family val="1"/>
      </rPr>
      <t>(</t>
    </r>
    <r>
      <rPr>
        <sz val="10.5"/>
        <color theme="1"/>
        <rFont val="宋体"/>
        <family val="3"/>
        <charset val="134"/>
      </rPr>
      <t>汽车制造业</t>
    </r>
    <r>
      <rPr>
        <sz val="10.5"/>
        <color theme="1"/>
        <rFont val="Times New Roman"/>
        <family val="1"/>
      </rPr>
      <t>)</t>
    </r>
    <r>
      <rPr>
        <sz val="10.5"/>
        <color theme="1"/>
        <rFont val="宋体"/>
        <family val="3"/>
        <charset val="134"/>
      </rPr>
      <t>挥发性有机化合物排放标准</t>
    </r>
    <r>
      <rPr>
        <sz val="10.5"/>
        <color theme="1"/>
        <rFont val="Times New Roman"/>
        <family val="1"/>
      </rPr>
      <t>(DB44/816-2010)</t>
    </r>
    <r>
      <rPr>
        <sz val="10.5"/>
        <color theme="1"/>
        <rFont val="宋体"/>
        <family val="3"/>
        <charset val="134"/>
      </rPr>
      <t>》；其他行业参照执行《家具制造行业挥发性有机化合物排放标准（</t>
    </r>
    <r>
      <rPr>
        <sz val="10.5"/>
        <color theme="1"/>
        <rFont val="Times New Roman"/>
        <family val="1"/>
      </rPr>
      <t>DB44/814-2010</t>
    </r>
    <r>
      <rPr>
        <sz val="10.5"/>
        <color theme="1"/>
        <rFont val="宋体"/>
        <family val="3"/>
        <charset val="134"/>
      </rPr>
      <t>）》</t>
    </r>
    <r>
      <rPr>
        <sz val="10.5"/>
        <color theme="1"/>
        <rFont val="Times New Roman"/>
        <family val="1"/>
      </rPr>
      <t>”</t>
    </r>
    <r>
      <rPr>
        <sz val="10.5"/>
        <color theme="1"/>
        <rFont val="宋体"/>
        <family val="3"/>
        <charset val="134"/>
      </rPr>
      <t>。因此本项目压铸脱模剂产生的有机废气参照广东省地方标准《家具制造行业挥发性有机化合物排放标准》（</t>
    </r>
    <r>
      <rPr>
        <sz val="10.5"/>
        <color theme="1"/>
        <rFont val="Times New Roman"/>
        <family val="1"/>
      </rPr>
      <t>DB44/814-2010</t>
    </r>
    <r>
      <rPr>
        <sz val="10.5"/>
        <color theme="1"/>
        <rFont val="宋体"/>
        <family val="3"/>
        <charset val="134"/>
      </rPr>
      <t>）第Ⅱ时段标准。</t>
    </r>
    <r>
      <rPr>
        <sz val="10.5"/>
        <color theme="1"/>
        <rFont val="Times New Roman"/>
        <family val="1"/>
      </rPr>
      <t xml:space="preserve">
</t>
    </r>
    <r>
      <rPr>
        <sz val="10.5"/>
        <color theme="1"/>
        <rFont val="宋体"/>
        <family val="3"/>
        <charset val="134"/>
      </rPr>
      <t>颗粒物排放执行广东省地方标准《大气污染物排放限值标准》（</t>
    </r>
    <r>
      <rPr>
        <sz val="10.5"/>
        <color theme="1"/>
        <rFont val="Times New Roman"/>
        <family val="1"/>
      </rPr>
      <t>DB44/27-2001</t>
    </r>
    <r>
      <rPr>
        <sz val="10.5"/>
        <color theme="1"/>
        <rFont val="宋体"/>
        <family val="3"/>
        <charset val="134"/>
      </rPr>
      <t>）中二级标准（第二时段）和无组织排放监控点浓度限值；具体如下表</t>
    </r>
    <r>
      <rPr>
        <sz val="10.5"/>
        <color theme="1"/>
        <rFont val="Times New Roman"/>
        <family val="1"/>
      </rPr>
      <t xml:space="preserve">
</t>
    </r>
  </si>
  <si>
    <r>
      <t>“</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</si>
  <si>
    <r>
      <t>项目压铸过程会使用脱模剂喷射脱模。本项目所用脱模剂为喷雾型水性脱模剂。在喷洒时与高温工件接触瞬间会有油雾产生，主要为颗粒物及总VOCs</t>
    </r>
    <r>
      <rPr>
        <sz val="10.5"/>
        <color theme="1"/>
        <rFont val="宋体"/>
        <family val="3"/>
        <charset val="134"/>
      </rPr>
      <t>。电熔炉熔融时会产生少量金属烟尘；另外由于钢材表面粘有油污，加热形成油污，污染因子均为颗粒物。</t>
    </r>
    <r>
      <rPr>
        <sz val="10.5"/>
        <color theme="1"/>
        <rFont val="Times New Roman"/>
        <family val="1"/>
      </rPr>
      <t xml:space="preserve">
</t>
    </r>
    <r>
      <rPr>
        <sz val="10.5"/>
        <color theme="1"/>
        <rFont val="宋体"/>
        <family val="3"/>
        <charset val="134"/>
      </rPr>
      <t>根据脱模剂成份资料，油雾挥发量约为脱模剂使用量的</t>
    </r>
    <r>
      <rPr>
        <sz val="10.5"/>
        <color theme="1"/>
        <rFont val="Times New Roman"/>
        <family val="1"/>
      </rPr>
      <t>25%</t>
    </r>
    <r>
      <rPr>
        <sz val="10.5"/>
        <color theme="1"/>
        <rFont val="宋体"/>
        <family val="3"/>
        <charset val="134"/>
      </rPr>
      <t>，其中</t>
    </r>
    <r>
      <rPr>
        <sz val="10.5"/>
        <color theme="1"/>
        <rFont val="Times New Roman"/>
        <family val="1"/>
      </rPr>
      <t>VOCs</t>
    </r>
    <r>
      <rPr>
        <sz val="10.5"/>
        <color theme="1"/>
        <rFont val="宋体"/>
        <family val="3"/>
        <charset val="134"/>
      </rPr>
      <t>挥发量为</t>
    </r>
    <r>
      <rPr>
        <sz val="10.5"/>
        <color theme="1"/>
        <rFont val="Times New Roman"/>
        <family val="1"/>
      </rPr>
      <t>5%</t>
    </r>
    <r>
      <rPr>
        <sz val="10.5"/>
        <color theme="1"/>
        <rFont val="宋体"/>
        <family val="3"/>
        <charset val="134"/>
      </rPr>
      <t>。</t>
    </r>
    <r>
      <rPr>
        <sz val="10.5"/>
        <color theme="1"/>
        <rFont val="Times New Roman"/>
        <family val="1"/>
      </rPr>
      <t xml:space="preserve">
</t>
    </r>
    <r>
      <rPr>
        <sz val="10.5"/>
        <color theme="1"/>
        <rFont val="宋体"/>
        <family val="3"/>
        <charset val="134"/>
      </rPr>
      <t>根据实际调查可知，高温熔融钢材金属液体过程中产生的烟尘量相对不大，参考《第一次全国污染源普查工业污染源产排污系数手册》中第九分册的</t>
    </r>
    <r>
      <rPr>
        <sz val="10.5"/>
        <color theme="1"/>
        <rFont val="Times New Roman"/>
        <family val="1"/>
      </rPr>
      <t>“</t>
    </r>
    <r>
      <rPr>
        <sz val="10.5"/>
        <color theme="1"/>
        <rFont val="宋体"/>
        <family val="3"/>
        <charset val="134"/>
      </rPr>
      <t>通用设备制造业</t>
    </r>
    <r>
      <rPr>
        <sz val="10.5"/>
        <color theme="1"/>
        <rFont val="Times New Roman"/>
        <family val="1"/>
      </rPr>
      <t>”</t>
    </r>
    <r>
      <rPr>
        <sz val="10.5"/>
        <color theme="1"/>
        <rFont val="宋体"/>
        <family val="3"/>
        <charset val="134"/>
      </rPr>
      <t>中</t>
    </r>
    <r>
      <rPr>
        <sz val="10.5"/>
        <color theme="1"/>
        <rFont val="Times New Roman"/>
        <family val="1"/>
      </rPr>
      <t>“</t>
    </r>
    <r>
      <rPr>
        <sz val="10.5"/>
        <color theme="1"/>
        <rFont val="宋体"/>
        <family val="3"/>
        <charset val="134"/>
      </rPr>
      <t>钢铁铸件制造业</t>
    </r>
    <r>
      <rPr>
        <sz val="10.5"/>
        <color theme="1"/>
        <rFont val="Times New Roman"/>
        <family val="1"/>
      </rPr>
      <t>”</t>
    </r>
    <r>
      <rPr>
        <sz val="10.5"/>
        <color theme="1"/>
        <rFont val="宋体"/>
        <family val="3"/>
        <charset val="134"/>
      </rPr>
      <t>，其中铸钢件（结构材料：生钢、废钢）中烟尘产污系数</t>
    </r>
    <r>
      <rPr>
        <sz val="10.5"/>
        <color theme="1"/>
        <rFont val="Times New Roman"/>
        <family val="1"/>
      </rPr>
      <t>6.5kg/t</t>
    </r>
    <r>
      <rPr>
        <sz val="10.5"/>
        <color theme="1"/>
        <rFont val="宋体"/>
        <family val="3"/>
        <charset val="134"/>
      </rPr>
      <t>产品。</t>
    </r>
    <r>
      <rPr>
        <sz val="10.5"/>
        <color theme="1"/>
        <rFont val="Times New Roman"/>
        <family val="1"/>
      </rPr>
      <t xml:space="preserve">
</t>
    </r>
    <r>
      <rPr>
        <sz val="10.5"/>
        <color theme="1"/>
        <rFont val="宋体"/>
        <family val="3"/>
        <charset val="134"/>
      </rPr>
      <t>项目于压铸机压室上方以及电熔炉上方设置集气罩收集颗粒物，经</t>
    </r>
    <r>
      <rPr>
        <sz val="10.5"/>
        <color theme="1"/>
        <rFont val="Times New Roman"/>
        <family val="1"/>
      </rPr>
      <t>“</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r>
      <rPr>
        <sz val="10.5"/>
        <color theme="1"/>
        <rFont val="宋体"/>
        <family val="3"/>
        <charset val="134"/>
      </rPr>
      <t>处理设施处理后通过</t>
    </r>
    <r>
      <rPr>
        <sz val="10.5"/>
        <color theme="1"/>
        <rFont val="Times New Roman"/>
        <family val="1"/>
      </rPr>
      <t>15m</t>
    </r>
    <r>
      <rPr>
        <sz val="10.5"/>
        <color theme="1"/>
        <rFont val="宋体"/>
        <family val="3"/>
        <charset val="134"/>
      </rPr>
      <t>排气筒排放。收集效率</t>
    </r>
    <r>
      <rPr>
        <sz val="10.5"/>
        <color theme="1"/>
        <rFont val="Times New Roman"/>
        <family val="1"/>
      </rPr>
      <t>90%</t>
    </r>
    <r>
      <rPr>
        <sz val="10.5"/>
        <color theme="1"/>
        <rFont val="宋体"/>
        <family val="3"/>
        <charset val="134"/>
      </rPr>
      <t>，</t>
    </r>
    <r>
      <rPr>
        <sz val="10.5"/>
        <color theme="1"/>
        <rFont val="Times New Roman"/>
        <family val="1"/>
      </rPr>
      <t>“</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r>
      <rPr>
        <sz val="10.5"/>
        <color theme="1"/>
        <rFont val="宋体"/>
        <family val="3"/>
        <charset val="134"/>
      </rPr>
      <t>对颗粒物的处理效率按</t>
    </r>
    <r>
      <rPr>
        <sz val="10.5"/>
        <color theme="1"/>
        <rFont val="Times New Roman"/>
        <family val="1"/>
      </rPr>
      <t>99%</t>
    </r>
    <r>
      <rPr>
        <sz val="10.5"/>
        <color theme="1"/>
        <rFont val="宋体"/>
        <family val="3"/>
        <charset val="134"/>
      </rPr>
      <t>算，风量为</t>
    </r>
    <r>
      <rPr>
        <sz val="10.5"/>
        <color theme="1"/>
        <rFont val="Times New Roman"/>
        <family val="1"/>
      </rPr>
      <t>6000 m3/h</t>
    </r>
    <r>
      <rPr>
        <sz val="10.5"/>
        <color theme="1"/>
        <rFont val="宋体"/>
        <family val="3"/>
        <charset val="134"/>
      </rPr>
      <t>。</t>
    </r>
    <r>
      <rPr>
        <sz val="10.5"/>
        <color theme="1"/>
        <rFont val="Times New Roman"/>
        <family val="1"/>
      </rPr>
      <t xml:space="preserve">
</t>
    </r>
    <r>
      <rPr>
        <sz val="10.5"/>
        <color theme="1"/>
        <rFont val="宋体"/>
        <family val="3"/>
        <charset val="134"/>
      </rPr>
      <t>项目年用脱模剂</t>
    </r>
    <r>
      <rPr>
        <sz val="10.5"/>
        <color theme="1"/>
        <rFont val="Times New Roman"/>
        <family val="1"/>
      </rPr>
      <t>0.1</t>
    </r>
    <r>
      <rPr>
        <sz val="10.5"/>
        <color theme="1"/>
        <rFont val="宋体"/>
        <family val="3"/>
        <charset val="134"/>
      </rPr>
      <t>吨，钢材</t>
    </r>
    <r>
      <rPr>
        <sz val="10.5"/>
        <color theme="1"/>
        <rFont val="Times New Roman"/>
        <family val="1"/>
      </rPr>
      <t>12</t>
    </r>
    <r>
      <rPr>
        <sz val="10.5"/>
        <color theme="1"/>
        <rFont val="宋体"/>
        <family val="3"/>
        <charset val="134"/>
      </rPr>
      <t>吨。项目压铸过程油雾仅与高温工件接触瞬间产生，因为项目配备</t>
    </r>
    <r>
      <rPr>
        <sz val="10.5"/>
        <color theme="1"/>
        <rFont val="Times New Roman"/>
        <family val="1"/>
      </rPr>
      <t>2</t>
    </r>
    <r>
      <rPr>
        <sz val="10.5"/>
        <color theme="1"/>
        <rFont val="宋体"/>
        <family val="3"/>
        <charset val="134"/>
      </rPr>
      <t>台压铸机连续生产，每个工件生产时间较短，项目油雾可视为连续产生。电熔融烟尘亦为连续产生。压铸工序每天连续工作</t>
    </r>
    <r>
      <rPr>
        <sz val="10.5"/>
        <color theme="1"/>
        <rFont val="Times New Roman"/>
        <family val="1"/>
      </rPr>
      <t>4</t>
    </r>
    <r>
      <rPr>
        <sz val="10.5"/>
        <color theme="1"/>
        <rFont val="宋体"/>
        <family val="3"/>
        <charset val="134"/>
      </rPr>
      <t>小时。</t>
    </r>
    <r>
      <rPr>
        <sz val="10.5"/>
        <color theme="1"/>
        <rFont val="Times New Roman"/>
        <family val="1"/>
      </rPr>
      <t xml:space="preserve">
</t>
    </r>
  </si>
  <si>
    <r>
      <t>在熔融和压铸过程中使用电炉高温加热钢材使其形成熔融态时，会产生含少量的烟尘，污染因子为颗粒物。另外，项目压铸过程会使用脱模剂，使压铸件易于脱出模具。本项目所用脱模剂为水性脱模剂。在脱模剂与高温金属液体接触瞬间会有油雾及有机废气产生，污染因子为颗粒物和VOCs</t>
    </r>
    <r>
      <rPr>
        <sz val="10.5"/>
        <color theme="1"/>
        <rFont val="宋体"/>
        <family val="3"/>
        <charset val="134"/>
      </rPr>
      <t>。建议在电熔炉上方以及压铸上方设置集气罩，将压铸烟尘及油雾经收集后先通过静电除油器去除油雾再经高温布袋除尘器处理，再通过</t>
    </r>
    <r>
      <rPr>
        <sz val="10.5"/>
        <color theme="1"/>
        <rFont val="Times New Roman"/>
        <family val="1"/>
      </rPr>
      <t>15m</t>
    </r>
    <r>
      <rPr>
        <sz val="10.5"/>
        <color theme="1"/>
        <rFont val="宋体"/>
        <family val="3"/>
        <charset val="134"/>
      </rPr>
      <t>排气筒排放。经核算，颗粒物排放浓度为</t>
    </r>
    <r>
      <rPr>
        <sz val="10.5"/>
        <color theme="1"/>
        <rFont val="Times New Roman"/>
        <family val="1"/>
      </rPr>
      <t>0.927mg/m3</t>
    </r>
    <r>
      <rPr>
        <sz val="10.5"/>
        <color theme="1"/>
        <rFont val="宋体"/>
        <family val="3"/>
        <charset val="134"/>
      </rPr>
      <t>，排放速率为</t>
    </r>
    <r>
      <rPr>
        <sz val="10.5"/>
        <color theme="1"/>
        <rFont val="Times New Roman"/>
        <family val="1"/>
      </rPr>
      <t>0.0008kg/h</t>
    </r>
    <r>
      <rPr>
        <sz val="10.5"/>
        <color theme="1"/>
        <rFont val="宋体"/>
        <family val="3"/>
        <charset val="134"/>
      </rPr>
      <t>，</t>
    </r>
    <r>
      <rPr>
        <sz val="10.5"/>
        <color theme="1"/>
        <rFont val="Times New Roman"/>
        <family val="1"/>
      </rPr>
      <t>VOCs</t>
    </r>
    <r>
      <rPr>
        <sz val="10.5"/>
        <color theme="1"/>
        <rFont val="宋体"/>
        <family val="3"/>
        <charset val="134"/>
      </rPr>
      <t>排放浓度为</t>
    </r>
    <r>
      <rPr>
        <sz val="10.5"/>
        <color theme="1"/>
        <rFont val="Times New Roman"/>
        <family val="1"/>
      </rPr>
      <t>0.625mg/m3</t>
    </r>
    <r>
      <rPr>
        <sz val="10.5"/>
        <color theme="1"/>
        <rFont val="宋体"/>
        <family val="3"/>
        <charset val="134"/>
      </rPr>
      <t>，排放速率为</t>
    </r>
    <r>
      <rPr>
        <sz val="10.5"/>
        <color theme="1"/>
        <rFont val="Times New Roman"/>
        <family val="1"/>
      </rPr>
      <t>0.004kg/h</t>
    </r>
    <r>
      <rPr>
        <sz val="10.5"/>
        <color theme="1"/>
        <rFont val="宋体"/>
        <family val="3"/>
        <charset val="134"/>
      </rPr>
      <t>，排放量少，对环境影响不明显。另外，项目北面的居民住宅，与压铸区域的最近距离为</t>
    </r>
    <r>
      <rPr>
        <sz val="10.5"/>
        <color theme="1"/>
        <rFont val="Times New Roman"/>
        <family val="1"/>
      </rPr>
      <t>188m</t>
    </r>
    <r>
      <rPr>
        <sz val="10.5"/>
        <color theme="1"/>
        <rFont val="宋体"/>
        <family val="3"/>
        <charset val="134"/>
      </rPr>
      <t>。项目所在地的主导风向为南东南风，则敏感点均不位于项目的下风向。</t>
    </r>
    <r>
      <rPr>
        <sz val="10.5"/>
        <color theme="1"/>
        <rFont val="Times New Roman"/>
        <family val="1"/>
      </rPr>
      <t>“</t>
    </r>
    <r>
      <rPr>
        <sz val="10.5"/>
        <color theme="1"/>
        <rFont val="宋体"/>
        <family val="3"/>
        <charset val="134"/>
      </rPr>
      <t>静电除油</t>
    </r>
    <r>
      <rPr>
        <sz val="10.5"/>
        <color theme="1"/>
        <rFont val="Times New Roman"/>
        <family val="1"/>
      </rPr>
      <t>+</t>
    </r>
    <r>
      <rPr>
        <sz val="10.5"/>
        <color theme="1"/>
        <rFont val="宋体"/>
        <family val="3"/>
        <charset val="134"/>
      </rPr>
      <t>布袋除尘</t>
    </r>
    <r>
      <rPr>
        <sz val="10.5"/>
        <color theme="1"/>
        <rFont val="Times New Roman"/>
        <family val="1"/>
      </rPr>
      <t>”</t>
    </r>
    <r>
      <rPr>
        <sz val="10.5"/>
        <color theme="1"/>
        <rFont val="宋体"/>
        <family val="3"/>
        <charset val="134"/>
      </rPr>
      <t>工艺成熟稳定。只要定期对静电除油器和布袋除尘器作保养维护，保证静电除油器和布袋除尘器的处理效率，预计压铸烟尘、油雾和总</t>
    </r>
    <r>
      <rPr>
        <sz val="10.5"/>
        <color theme="1"/>
        <rFont val="Times New Roman"/>
        <family val="1"/>
      </rPr>
      <t>VOCs</t>
    </r>
    <r>
      <rPr>
        <sz val="10.5"/>
        <color theme="1"/>
        <rFont val="宋体"/>
        <family val="3"/>
        <charset val="134"/>
      </rPr>
      <t>经处理后达标排放，且对环境及敏感点影响不明显。综上，其废气的排放速率和排放浓度均符合广东省《大气污染物排放限值》（</t>
    </r>
    <r>
      <rPr>
        <sz val="10.5"/>
        <color theme="1"/>
        <rFont val="Times New Roman"/>
        <family val="1"/>
      </rPr>
      <t>DB44/27-2001</t>
    </r>
    <r>
      <rPr>
        <sz val="10.5"/>
        <color theme="1"/>
        <rFont val="宋体"/>
        <family val="3"/>
        <charset val="134"/>
      </rPr>
      <t>）颗粒物厂界无组织排放浓度限值与《工业炉窑大气污染物排放标准》（</t>
    </r>
    <r>
      <rPr>
        <sz val="10.5"/>
        <color theme="1"/>
        <rFont val="Times New Roman"/>
        <family val="1"/>
      </rPr>
      <t>GB9078-1996</t>
    </r>
    <r>
      <rPr>
        <sz val="10.5"/>
        <color theme="1"/>
        <rFont val="宋体"/>
        <family val="3"/>
        <charset val="134"/>
      </rPr>
      <t>）表</t>
    </r>
    <r>
      <rPr>
        <sz val="10.5"/>
        <color theme="1"/>
        <rFont val="Times New Roman"/>
        <family val="1"/>
      </rPr>
      <t>3</t>
    </r>
    <r>
      <rPr>
        <sz val="10.5"/>
        <color theme="1"/>
        <rFont val="宋体"/>
        <family val="3"/>
        <charset val="134"/>
      </rPr>
      <t>无组织排放浓度限值的较严值要求。</t>
    </r>
    <r>
      <rPr>
        <sz val="10.5"/>
        <color theme="1"/>
        <rFont val="Times New Roman"/>
        <family val="1"/>
      </rPr>
      <t xml:space="preserve">
</t>
    </r>
  </si>
  <si>
    <r>
      <t>经“</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r>
      <rPr>
        <sz val="10.5"/>
        <color theme="1"/>
        <rFont val="宋体"/>
        <family val="3"/>
        <charset val="134"/>
      </rPr>
      <t>处理设施处理后通过</t>
    </r>
    <r>
      <rPr>
        <sz val="10.5"/>
        <color theme="1"/>
        <rFont val="Times New Roman"/>
        <family val="1"/>
      </rPr>
      <t>15m</t>
    </r>
    <r>
      <rPr>
        <sz val="10.5"/>
        <color theme="1"/>
        <rFont val="宋体"/>
        <family val="3"/>
        <charset val="134"/>
      </rPr>
      <t>排气筒排放</t>
    </r>
  </si>
  <si>
    <t>均安</t>
    <phoneticPr fontId="6" type="noConversion"/>
  </si>
  <si>
    <t>杏坛</t>
    <phoneticPr fontId="6" type="noConversion"/>
  </si>
  <si>
    <t>原材料</t>
    <phoneticPr fontId="6" type="noConversion"/>
  </si>
  <si>
    <t>设备</t>
    <phoneticPr fontId="6" type="noConversion"/>
  </si>
  <si>
    <t>废气污染源名称</t>
    <phoneticPr fontId="6" type="noConversion"/>
  </si>
  <si>
    <t>产污系数</t>
    <phoneticPr fontId="6" type="noConversion"/>
  </si>
  <si>
    <t>处理措施(0不用处理）</t>
    <phoneticPr fontId="6" type="noConversion"/>
  </si>
  <si>
    <t>收集效率（0代表无组织排放）</t>
    <phoneticPr fontId="6" type="noConversion"/>
  </si>
  <si>
    <t>处理效率</t>
    <phoneticPr fontId="6" type="noConversion"/>
  </si>
  <si>
    <t>污染源描述</t>
    <phoneticPr fontId="6" type="noConversion"/>
  </si>
  <si>
    <t>污染源影响分析描述</t>
    <phoneticPr fontId="6" type="noConversion"/>
  </si>
  <si>
    <t>防治措施</t>
    <phoneticPr fontId="6" type="noConversion"/>
  </si>
  <si>
    <t>地区</t>
    <phoneticPr fontId="6" type="noConversion"/>
  </si>
  <si>
    <t>PVC</t>
    <phoneticPr fontId="6" type="noConversion"/>
  </si>
  <si>
    <t>原辅材料</t>
  </si>
  <si>
    <t>设备</t>
  </si>
  <si>
    <t>固废污染源名称</t>
  </si>
  <si>
    <t>产污系数（0代表没有系数）</t>
  </si>
  <si>
    <t>影响分析描述</t>
  </si>
  <si>
    <t>边角料</t>
  </si>
  <si>
    <r>
      <rPr>
        <sz val="12"/>
        <color theme="1"/>
        <rFont val="宋体"/>
        <family val="3"/>
        <charset val="134"/>
      </rPr>
      <t>项目在生产过程中会产生一定量的次品、边角料，按原料的</t>
    </r>
    <r>
      <rPr>
        <sz val="12"/>
        <color rgb="FFFF0000"/>
        <rFont val="Times New Roman"/>
        <family val="1"/>
      </rPr>
      <t>5%</t>
    </r>
    <r>
      <rPr>
        <sz val="12"/>
        <color rgb="FFFF0000"/>
        <rFont val="宋体"/>
        <family val="3"/>
        <charset val="134"/>
      </rPr>
      <t>核算</t>
    </r>
    <r>
      <rPr>
        <sz val="12"/>
        <color theme="1"/>
        <rFont val="宋体"/>
        <family val="3"/>
        <charset val="134"/>
      </rPr>
      <t>，不锈钢板用量为</t>
    </r>
    <r>
      <rPr>
        <sz val="12"/>
        <color rgb="FFFF0000"/>
        <rFont val="Times New Roman"/>
        <family val="1"/>
      </rPr>
      <t>3000t/a</t>
    </r>
    <r>
      <rPr>
        <sz val="12"/>
        <color theme="1"/>
        <rFont val="宋体"/>
        <family val="3"/>
        <charset val="134"/>
      </rPr>
      <t>，则其产生量约</t>
    </r>
    <r>
      <rPr>
        <sz val="12"/>
        <color rgb="FFFF0000"/>
        <rFont val="Times New Roman"/>
        <family val="1"/>
      </rPr>
      <t>150t/a</t>
    </r>
    <r>
      <rPr>
        <sz val="12"/>
        <color theme="1"/>
        <rFont val="宋体"/>
        <family val="3"/>
        <charset val="134"/>
      </rPr>
      <t>。</t>
    </r>
  </si>
  <si>
    <r>
      <rPr>
        <sz val="12"/>
        <color theme="1"/>
        <rFont val="宋体"/>
        <family val="3"/>
        <charset val="134"/>
      </rPr>
      <t>项目的边角料产生量为</t>
    </r>
    <r>
      <rPr>
        <sz val="12"/>
        <color rgb="FFFF0000"/>
        <rFont val="Times New Roman"/>
        <family val="1"/>
      </rPr>
      <t>150t/a</t>
    </r>
    <r>
      <rPr>
        <sz val="12"/>
        <color theme="1"/>
        <rFont val="宋体"/>
        <family val="3"/>
        <charset val="134"/>
      </rPr>
      <t>，</t>
    </r>
    <r>
      <rPr>
        <sz val="12"/>
        <color theme="1"/>
        <rFont val="宋体"/>
        <family val="3"/>
        <charset val="134"/>
      </rPr>
      <t>收集后外卖废品回收商</t>
    </r>
  </si>
  <si>
    <t>定期卖给废品回收商</t>
  </si>
  <si>
    <t>铁</t>
  </si>
  <si>
    <t>制管</t>
  </si>
  <si>
    <t>铜</t>
  </si>
  <si>
    <t>分条</t>
  </si>
  <si>
    <t>冲床</t>
  </si>
  <si>
    <t>剪板</t>
  </si>
  <si>
    <t>液压</t>
  </si>
  <si>
    <t>CNC</t>
  </si>
  <si>
    <t>夹板</t>
  </si>
  <si>
    <t>布袋除尘回收粉尘</t>
  </si>
  <si>
    <r>
      <rPr>
        <sz val="12"/>
        <color theme="1"/>
        <rFont val="宋体"/>
        <family val="3"/>
        <charset val="134"/>
      </rPr>
      <t>项目生产过程中，对</t>
    </r>
    <r>
      <rPr>
        <sz val="12"/>
        <color rgb="FFFF0000"/>
        <rFont val="宋体"/>
        <family val="3"/>
        <charset val="134"/>
      </rPr>
      <t>抛光</t>
    </r>
    <r>
      <rPr>
        <sz val="12"/>
        <color theme="1"/>
        <rFont val="宋体"/>
        <family val="3"/>
        <charset val="134"/>
      </rPr>
      <t>产生的粉尘收集后通过布袋除尘器处理，根据上述大气污染源分析，项目除尘系统收集的粉尘约为</t>
    </r>
    <r>
      <rPr>
        <sz val="12"/>
        <color rgb="FFFF0000"/>
        <rFont val="Times New Roman"/>
        <family val="1"/>
      </rPr>
      <t>13.4t/a</t>
    </r>
    <r>
      <rPr>
        <sz val="12"/>
        <color theme="1"/>
        <rFont val="宋体"/>
        <family val="3"/>
        <charset val="134"/>
      </rPr>
      <t>。</t>
    </r>
  </si>
  <si>
    <r>
      <rPr>
        <sz val="12"/>
        <color theme="1"/>
        <rFont val="宋体"/>
        <family val="3"/>
        <charset val="134"/>
      </rPr>
      <t>项目的布袋回收粉尘收集量为</t>
    </r>
    <r>
      <rPr>
        <sz val="12"/>
        <color rgb="FFFF0000"/>
        <rFont val="Times New Roman"/>
        <family val="1"/>
      </rPr>
      <t>13.4t/a</t>
    </r>
    <r>
      <rPr>
        <sz val="12"/>
        <color theme="1"/>
        <rFont val="宋体"/>
        <family val="3"/>
        <charset val="134"/>
      </rPr>
      <t>，</t>
    </r>
    <r>
      <rPr>
        <sz val="12"/>
        <color theme="1"/>
        <rFont val="宋体"/>
        <family val="3"/>
        <charset val="134"/>
      </rPr>
      <t>收集后外卖废品回收商</t>
    </r>
  </si>
  <si>
    <t>喷淋废渣</t>
  </si>
  <si>
    <r>
      <rPr>
        <sz val="12"/>
        <color theme="1"/>
        <rFont val="宋体"/>
        <family val="3"/>
        <charset val="134"/>
      </rPr>
      <t>项目生产过程中，对</t>
    </r>
    <r>
      <rPr>
        <sz val="12"/>
        <color rgb="FFFF0000"/>
        <rFont val="宋体"/>
        <family val="3"/>
        <charset val="134"/>
      </rPr>
      <t>抛光</t>
    </r>
    <r>
      <rPr>
        <sz val="12"/>
        <color theme="1"/>
        <rFont val="宋体"/>
        <family val="3"/>
        <charset val="134"/>
      </rPr>
      <t>产生的粉尘收集后通过水喷淋处理，经核算，项目喷淋废渣产生量约为</t>
    </r>
    <r>
      <rPr>
        <sz val="12"/>
        <color rgb="FFFF0000"/>
        <rFont val="Times New Roman"/>
        <family val="1"/>
      </rPr>
      <t>13.4t/a</t>
    </r>
    <r>
      <rPr>
        <sz val="12"/>
        <color theme="1"/>
        <rFont val="宋体"/>
        <family val="3"/>
        <charset val="134"/>
      </rPr>
      <t>。</t>
    </r>
  </si>
  <si>
    <r>
      <rPr>
        <sz val="12"/>
        <color theme="1"/>
        <rFont val="宋体"/>
        <family val="3"/>
        <charset val="134"/>
      </rPr>
      <t>项目的喷淋废渣产生量为</t>
    </r>
    <r>
      <rPr>
        <sz val="12"/>
        <color rgb="FFFF0000"/>
        <rFont val="Times New Roman"/>
        <family val="1"/>
      </rPr>
      <t>13.4t/a</t>
    </r>
    <r>
      <rPr>
        <sz val="12"/>
        <color theme="1"/>
        <rFont val="宋体"/>
        <family val="3"/>
        <charset val="134"/>
      </rPr>
      <t>，</t>
    </r>
    <r>
      <rPr>
        <sz val="12"/>
        <color theme="1"/>
        <rFont val="宋体"/>
        <family val="3"/>
        <charset val="134"/>
      </rPr>
      <t>收集后外卖废品回收商</t>
    </r>
  </si>
  <si>
    <r>
      <rPr>
        <sz val="12"/>
        <color theme="1"/>
        <rFont val="宋体"/>
        <family val="3"/>
        <charset val="134"/>
      </rPr>
      <t>项目生产过程中，对</t>
    </r>
    <r>
      <rPr>
        <sz val="12"/>
        <color rgb="FFFF0000"/>
        <rFont val="宋体"/>
        <family val="3"/>
        <charset val="134"/>
      </rPr>
      <t>木加工</t>
    </r>
    <r>
      <rPr>
        <sz val="12"/>
        <color theme="1"/>
        <rFont val="宋体"/>
        <family val="3"/>
        <charset val="134"/>
      </rPr>
      <t>产生的粉尘收集后通过布袋除尘器处理，根据上述大气污染源分析，项目除尘系统收集的粉尘约为</t>
    </r>
    <r>
      <rPr>
        <sz val="12"/>
        <color rgb="FFFF0000"/>
        <rFont val="Times New Roman"/>
        <family val="1"/>
      </rPr>
      <t>13.4t/a</t>
    </r>
    <r>
      <rPr>
        <sz val="12"/>
        <color theme="1"/>
        <rFont val="宋体"/>
        <family val="3"/>
        <charset val="134"/>
      </rPr>
      <t>。</t>
    </r>
  </si>
  <si>
    <t>印刷</t>
  </si>
  <si>
    <t>水性油墨包装桶</t>
  </si>
  <si>
    <r>
      <rPr>
        <sz val="12"/>
        <color theme="1"/>
        <rFont val="宋体"/>
        <family val="3"/>
        <charset val="134"/>
      </rPr>
      <t>本项目水性油墨包装规格为</t>
    </r>
    <r>
      <rPr>
        <sz val="12"/>
        <color theme="1"/>
        <rFont val="Times New Roman"/>
        <family val="1"/>
      </rPr>
      <t>10kg/</t>
    </r>
    <r>
      <rPr>
        <sz val="12"/>
        <color theme="1"/>
        <rFont val="宋体"/>
        <family val="3"/>
        <charset val="134"/>
      </rPr>
      <t>桶，空桶重量按</t>
    </r>
    <r>
      <rPr>
        <sz val="12"/>
        <color theme="1"/>
        <rFont val="Times New Roman"/>
        <family val="1"/>
      </rPr>
      <t>1kg/</t>
    </r>
    <r>
      <rPr>
        <sz val="12"/>
        <color theme="1"/>
        <rFont val="宋体"/>
        <family val="3"/>
        <charset val="134"/>
      </rPr>
      <t>个，则水性油墨包装罐产生量为</t>
    </r>
    <r>
      <rPr>
        <sz val="12"/>
        <color rgb="FFFF0000"/>
        <rFont val="Times New Roman"/>
        <family val="1"/>
      </rPr>
      <t>0.21t/a</t>
    </r>
    <r>
      <rPr>
        <sz val="12"/>
        <color theme="1"/>
        <rFont val="宋体"/>
        <family val="3"/>
        <charset val="134"/>
      </rPr>
      <t>，水性油墨包装罐交由供应商回收。</t>
    </r>
  </si>
  <si>
    <r>
      <rPr>
        <sz val="12"/>
        <color theme="1"/>
        <rFont val="宋体"/>
        <family val="3"/>
        <charset val="134"/>
      </rPr>
      <t>根据环境保护部环函</t>
    </r>
    <r>
      <rPr>
        <sz val="12"/>
        <color theme="1"/>
        <rFont val="Times New Roman"/>
        <family val="1"/>
      </rPr>
      <t>[2014]126</t>
    </r>
    <r>
      <rPr>
        <sz val="12"/>
        <color theme="1"/>
        <rFont val="宋体"/>
        <family val="3"/>
        <charset val="134"/>
      </rPr>
      <t>号《关于用于原始用途的含有或直接沾染危险废物的包装物、容器是否属于危险废物问题的复函》，水性油墨的废桶罐定期由供应商回收重复利用，属于复函中的“用于原始用途的含有或直接沾染危险废物的包装物、容器”，不属于危险废物</t>
    </r>
  </si>
  <si>
    <t>交由供应商回收</t>
  </si>
  <si>
    <t>备注</t>
    <phoneticPr fontId="6" type="noConversion"/>
  </si>
  <si>
    <t>纸板</t>
    <phoneticPr fontId="6" type="noConversion"/>
  </si>
  <si>
    <t>切角</t>
    <phoneticPr fontId="6" type="noConversion"/>
  </si>
  <si>
    <t>PVC</t>
    <phoneticPr fontId="6" type="noConversion"/>
  </si>
  <si>
    <t>废气源总数</t>
    <phoneticPr fontId="6" type="noConversion"/>
  </si>
  <si>
    <t>授权委托书有限公司</t>
    <phoneticPr fontId="6" type="noConversion"/>
  </si>
  <si>
    <t>选择附件包</t>
    <phoneticPr fontId="6" type="noConversion"/>
  </si>
  <si>
    <t>顺德区建设项目环境影响评价文件审批申请书</t>
    <phoneticPr fontId="6" type="noConversion"/>
  </si>
  <si>
    <t>长沙振华环境保护开发有限公司</t>
    <phoneticPr fontId="6" type="noConversion"/>
  </si>
  <si>
    <t>报告表合同(阿南)</t>
    <phoneticPr fontId="6" type="noConversion"/>
  </si>
  <si>
    <r>
      <t>国环评证乙字第</t>
    </r>
    <r>
      <rPr>
        <sz val="9"/>
        <color theme="1"/>
        <rFont val="Times New Roman"/>
        <family val="1"/>
      </rPr>
      <t>2734</t>
    </r>
    <r>
      <rPr>
        <sz val="9"/>
        <color theme="1"/>
        <rFont val="宋体"/>
        <family val="3"/>
        <charset val="134"/>
      </rPr>
      <t>号</t>
    </r>
    <phoneticPr fontId="6" type="noConversion"/>
  </si>
  <si>
    <t>责任声明(阿南)</t>
    <phoneticPr fontId="6" type="noConversion"/>
  </si>
  <si>
    <t>顺德区建设项目环境影响评价文件审批申请书(阿南)</t>
    <phoneticPr fontId="6" type="noConversion"/>
  </si>
  <si>
    <t>海南深鸿亚环保科技有限公司</t>
    <phoneticPr fontId="6" type="noConversion"/>
  </si>
  <si>
    <t>同意公示声明(阿南)</t>
    <phoneticPr fontId="6" type="noConversion"/>
  </si>
  <si>
    <t>资质证书缩印件页格式(阿南)</t>
    <phoneticPr fontId="6" type="noConversion"/>
  </si>
  <si>
    <t>审批登记表(阿南)</t>
    <phoneticPr fontId="6" type="noConversion"/>
  </si>
  <si>
    <t>审批登记表A3(阿南)</t>
    <phoneticPr fontId="6" type="noConversion"/>
  </si>
  <si>
    <t>待填</t>
    <phoneticPr fontId="6" type="noConversion"/>
  </si>
  <si>
    <t>无</t>
    <phoneticPr fontId="6" type="noConversion"/>
  </si>
  <si>
    <t>有</t>
    <phoneticPr fontId="6" type="noConversion"/>
  </si>
  <si>
    <t>B7填入民居名称，500米范围内</t>
    <phoneticPr fontId="6" type="noConversion"/>
  </si>
  <si>
    <t>B9填入水源保护区名称，500米范围内</t>
    <phoneticPr fontId="6" type="noConversion"/>
  </si>
  <si>
    <t>B3填入附近的河涌名称</t>
    <phoneticPr fontId="6" type="noConversion"/>
  </si>
  <si>
    <r>
      <t>北滘镇大气污染物除SO</t>
    </r>
    <r>
      <rPr>
        <vertAlign val="subscript"/>
        <sz val="11"/>
        <color rgb="FF000000"/>
        <rFont val="宋体"/>
        <family val="3"/>
        <charset val="134"/>
      </rPr>
      <t>2</t>
    </r>
    <r>
      <rPr>
        <sz val="11"/>
        <color rgb="FF000000"/>
        <rFont val="宋体"/>
        <family val="3"/>
        <charset val="134"/>
      </rPr>
      <t>的24小时平均值和年均值达到《环境空气质量标准》（GB3095-2012）的二级标准外，其它污染物NO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的24小时平均值和年平均值都有不同程度的超标。污染较重的为PM</t>
    </r>
    <r>
      <rPr>
        <vertAlign val="subscript"/>
        <sz val="11"/>
        <color rgb="FF000000"/>
        <rFont val="宋体"/>
        <family val="3"/>
        <charset val="134"/>
      </rPr>
      <t>2.5</t>
    </r>
    <r>
      <rPr>
        <sz val="11"/>
        <color rgb="FF000000"/>
        <rFont val="宋体"/>
        <family val="3"/>
        <charset val="134"/>
      </rPr>
      <t>，24小时平均值浓度达标率为85%，年平均值超标0.26倍。</t>
    </r>
  </si>
  <si>
    <r>
      <t>大良街道大气污染物SO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的年平均值有不同程度的超标。污染稍重的NO</t>
    </r>
    <r>
      <rPr>
        <vertAlign val="subscript"/>
        <sz val="11"/>
        <color rgb="FF000000"/>
        <rFont val="宋体"/>
        <family val="3"/>
        <charset val="134"/>
      </rPr>
      <t>2</t>
    </r>
    <r>
      <rPr>
        <sz val="11"/>
        <color rgb="FF000000"/>
        <rFont val="宋体"/>
        <family val="3"/>
        <charset val="134"/>
      </rPr>
      <t>，24小时平均浓度达标率90.7%，年平均值超标0.18倍。</t>
    </r>
  </si>
  <si>
    <r>
      <t>均安镇大气污染物SO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的年平均值有不同程度的超标。PM</t>
    </r>
    <r>
      <rPr>
        <vertAlign val="subscript"/>
        <sz val="11"/>
        <color rgb="FF000000"/>
        <rFont val="宋体"/>
        <family val="3"/>
        <charset val="134"/>
      </rPr>
      <t>2.5</t>
    </r>
    <r>
      <rPr>
        <sz val="11"/>
        <color rgb="FF000000"/>
        <rFont val="宋体"/>
        <family val="3"/>
        <charset val="134"/>
      </rPr>
      <t>24小时平均浓度达标率90.1%，NO</t>
    </r>
    <r>
      <rPr>
        <vertAlign val="subscript"/>
        <sz val="11"/>
        <color rgb="FF000000"/>
        <rFont val="宋体"/>
        <family val="3"/>
        <charset val="134"/>
      </rPr>
      <t>2</t>
    </r>
    <r>
      <rPr>
        <sz val="11"/>
        <color rgb="FF000000"/>
        <rFont val="宋体"/>
        <family val="3"/>
        <charset val="134"/>
      </rPr>
      <t>年平均值超标0.13倍。</t>
    </r>
  </si>
  <si>
    <r>
      <t>乐从镇大气污染物SO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和PM</t>
    </r>
    <r>
      <rPr>
        <vertAlign val="subscript"/>
        <sz val="11"/>
        <color rgb="FF000000"/>
        <rFont val="宋体"/>
        <family val="3"/>
        <charset val="134"/>
      </rPr>
      <t>10</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年平均值有不同程度的超标。污染稍重的NO</t>
    </r>
    <r>
      <rPr>
        <vertAlign val="subscript"/>
        <sz val="11"/>
        <color rgb="FF000000"/>
        <rFont val="宋体"/>
        <family val="3"/>
        <charset val="134"/>
      </rPr>
      <t>2</t>
    </r>
    <r>
      <rPr>
        <sz val="11"/>
        <color rgb="FF000000"/>
        <rFont val="宋体"/>
        <family val="3"/>
        <charset val="134"/>
      </rPr>
      <t>中24小时平均浓度达标率84.7%，年平均值超标0.3倍。</t>
    </r>
  </si>
  <si>
    <r>
      <t>勒流街道大气污染物SO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和PM</t>
    </r>
    <r>
      <rPr>
        <vertAlign val="subscript"/>
        <sz val="11"/>
        <color rgb="FF000000"/>
        <rFont val="宋体"/>
        <family val="3"/>
        <charset val="134"/>
      </rPr>
      <t>10</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年平均值都有不同程度的超标。污染稍重的PM</t>
    </r>
    <r>
      <rPr>
        <vertAlign val="subscript"/>
        <sz val="11"/>
        <color rgb="FF000000"/>
        <rFont val="宋体"/>
        <family val="3"/>
        <charset val="134"/>
      </rPr>
      <t>2.5</t>
    </r>
    <r>
      <rPr>
        <sz val="11"/>
        <color rgb="FF000000"/>
        <rFont val="宋体"/>
        <family val="3"/>
        <charset val="134"/>
      </rPr>
      <t>中24小时平均浓度达标率82.9%，年平均值超标0.29倍。</t>
    </r>
  </si>
  <si>
    <r>
      <t>龙江镇大气污染物SO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和PM</t>
    </r>
    <r>
      <rPr>
        <vertAlign val="subscript"/>
        <sz val="11"/>
        <color rgb="FF000000"/>
        <rFont val="宋体"/>
        <family val="3"/>
        <charset val="134"/>
      </rPr>
      <t>10</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年平均值有不同程度的超标。污染稍重的PM</t>
    </r>
    <r>
      <rPr>
        <vertAlign val="subscript"/>
        <sz val="11"/>
        <color rgb="FF000000"/>
        <rFont val="宋体"/>
        <family val="3"/>
        <charset val="134"/>
      </rPr>
      <t>2.5</t>
    </r>
    <r>
      <rPr>
        <sz val="11"/>
        <color rgb="FF000000"/>
        <rFont val="宋体"/>
        <family val="3"/>
        <charset val="134"/>
      </rPr>
      <t>中24小时平均浓度达标率84.1%，年平均值超标0.29倍。</t>
    </r>
  </si>
  <si>
    <r>
      <t>伦教街道大气污染物SO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和PM</t>
    </r>
    <r>
      <rPr>
        <vertAlign val="subscript"/>
        <sz val="11"/>
        <color rgb="FF000000"/>
        <rFont val="宋体"/>
        <family val="3"/>
        <charset val="134"/>
      </rPr>
      <t>2.5</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年平均值有不同程度的超标。污染稍重的NO</t>
    </r>
    <r>
      <rPr>
        <vertAlign val="subscript"/>
        <sz val="11"/>
        <color rgb="FF000000"/>
        <rFont val="宋体"/>
        <family val="3"/>
        <charset val="134"/>
      </rPr>
      <t>2</t>
    </r>
    <r>
      <rPr>
        <sz val="11"/>
        <color rgb="FF000000"/>
        <rFont val="宋体"/>
        <family val="3"/>
        <charset val="134"/>
      </rPr>
      <t>中24小时平均浓度达标率88.2%，年平均值超标0.18倍。</t>
    </r>
  </si>
  <si>
    <r>
      <t>容桂街道大气污染物24小时平均值除SO</t>
    </r>
    <r>
      <rPr>
        <vertAlign val="subscript"/>
        <sz val="11"/>
        <color rgb="FF000000"/>
        <rFont val="宋体"/>
        <family val="3"/>
        <charset val="134"/>
      </rPr>
      <t>2</t>
    </r>
    <r>
      <rPr>
        <sz val="11"/>
        <color rgb="FF000000"/>
        <rFont val="宋体"/>
        <family val="3"/>
        <charset val="134"/>
      </rPr>
      <t>达到《环境空气质量标准》（GB3095-2012）的二级标准外，其它污染物NO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都有不同程度的超标，年平均值除PM</t>
    </r>
    <r>
      <rPr>
        <vertAlign val="subscript"/>
        <sz val="11"/>
        <color rgb="FF000000"/>
        <rFont val="宋体"/>
        <family val="3"/>
        <charset val="134"/>
      </rPr>
      <t>2.5</t>
    </r>
    <r>
      <rPr>
        <sz val="11"/>
        <color rgb="FF000000"/>
        <rFont val="宋体"/>
        <family val="3"/>
        <charset val="134"/>
      </rPr>
      <t>超标外，其它污染物均达到《环境空气质量标准》（GB3095-2012）的二级标准。污染稍重的PM</t>
    </r>
    <r>
      <rPr>
        <vertAlign val="subscript"/>
        <sz val="11"/>
        <color rgb="FF000000"/>
        <rFont val="宋体"/>
        <family val="3"/>
        <charset val="134"/>
      </rPr>
      <t>2.5</t>
    </r>
    <r>
      <rPr>
        <sz val="11"/>
        <color rgb="FF000000"/>
        <rFont val="宋体"/>
        <family val="3"/>
        <charset val="134"/>
      </rPr>
      <t>中24小时平均浓度达标率90%，年平均值超标0.19倍。</t>
    </r>
  </si>
  <si>
    <r>
      <t>杏坛镇大气污染物SO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年平均值达到《环境空气质量标准》（GB3095-2012）的二级标准， 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年平均值有不同程度的超标。污染稍重的PM</t>
    </r>
    <r>
      <rPr>
        <vertAlign val="subscript"/>
        <sz val="11"/>
        <color rgb="FF000000"/>
        <rFont val="宋体"/>
        <family val="3"/>
        <charset val="134"/>
      </rPr>
      <t>2.5</t>
    </r>
    <r>
      <rPr>
        <sz val="11"/>
        <color rgb="FF000000"/>
        <rFont val="宋体"/>
        <family val="3"/>
        <charset val="134"/>
      </rPr>
      <t>中24小时平均浓度达标率85.9%，年平均值超标0.17倍。</t>
    </r>
  </si>
  <si>
    <t>原辅材料</t>
    <phoneticPr fontId="6" type="noConversion"/>
  </si>
  <si>
    <t>材料数量</t>
    <phoneticPr fontId="6" type="noConversion"/>
  </si>
  <si>
    <t>材料单位</t>
    <phoneticPr fontId="6" type="noConversion"/>
  </si>
  <si>
    <r>
      <t>项目的打磨抛光工序会产生一定量的金属粉尘。类比其他同类型项目，抛光工序产生的粉尘量约为加工件重量的</t>
    </r>
    <r>
      <rPr>
        <sz val="10.5"/>
        <color theme="1"/>
        <rFont val="Times New Roman"/>
        <family val="1"/>
      </rPr>
      <t>0.5%</t>
    </r>
    <r>
      <rPr>
        <sz val="10.5"/>
        <color theme="1"/>
        <rFont val="宋体"/>
        <family val="3"/>
        <charset val="134"/>
      </rPr>
      <t>。项目经抛光处理的工件共约</t>
    </r>
    <r>
      <rPr>
        <sz val="10.5"/>
        <color rgb="FFFF0000"/>
        <rFont val="Times New Roman"/>
        <family val="1"/>
      </rPr>
      <t>260</t>
    </r>
    <r>
      <rPr>
        <sz val="10.5"/>
        <color rgb="FFFF0000"/>
        <rFont val="宋体"/>
        <family val="3"/>
        <charset val="134"/>
      </rPr>
      <t>吨</t>
    </r>
    <r>
      <rPr>
        <sz val="10.5"/>
        <color theme="1"/>
        <rFont val="宋体"/>
        <family val="3"/>
        <charset val="134"/>
      </rPr>
      <t>，最大加工量为</t>
    </r>
    <r>
      <rPr>
        <sz val="10.5"/>
        <color rgb="FFFF0000"/>
        <rFont val="Times New Roman"/>
        <family val="1"/>
      </rPr>
      <t>144kg/h</t>
    </r>
    <r>
      <rPr>
        <sz val="10.5"/>
        <color theme="1"/>
        <rFont val="宋体"/>
        <family val="3"/>
        <charset val="134"/>
      </rPr>
      <t>，则粉尘的产生量约为</t>
    </r>
    <r>
      <rPr>
        <sz val="10.5"/>
        <color rgb="FFFF0000"/>
        <rFont val="Times New Roman"/>
        <family val="1"/>
      </rPr>
      <t>13</t>
    </r>
    <r>
      <rPr>
        <sz val="10.5"/>
        <color theme="1"/>
        <rFont val="Times New Roman"/>
        <family val="1"/>
      </rPr>
      <t>t/a</t>
    </r>
    <r>
      <rPr>
        <sz val="10.5"/>
        <color theme="1"/>
        <rFont val="宋体"/>
        <family val="3"/>
        <charset val="134"/>
      </rPr>
      <t>，最大产生速率为</t>
    </r>
    <r>
      <rPr>
        <sz val="10.5"/>
        <color rgb="FFFF0000"/>
        <rFont val="Times New Roman"/>
        <family val="1"/>
      </rPr>
      <t>7.2</t>
    </r>
    <r>
      <rPr>
        <sz val="10.5"/>
        <color theme="1"/>
        <rFont val="Times New Roman"/>
        <family val="1"/>
      </rPr>
      <t>kg/h</t>
    </r>
    <r>
      <rPr>
        <sz val="10.5"/>
        <color theme="1"/>
        <rFont val="宋体"/>
        <family val="3"/>
        <charset val="134"/>
      </rPr>
      <t>。项目的抛光机械配套脉冲式布袋除尘器，抛光产生的粉尘经布袋除尘处理后于</t>
    </r>
    <r>
      <rPr>
        <sz val="10.5"/>
        <color theme="1"/>
        <rFont val="Times New Roman"/>
        <family val="1"/>
      </rPr>
      <t>15</t>
    </r>
    <r>
      <rPr>
        <sz val="10.5"/>
        <color theme="1"/>
        <rFont val="宋体"/>
        <family val="3"/>
        <charset val="134"/>
      </rPr>
      <t>米排气筒排放，收集效率按</t>
    </r>
    <r>
      <rPr>
        <sz val="10.5"/>
        <color theme="1"/>
        <rFont val="Times New Roman"/>
        <family val="1"/>
      </rPr>
      <t>90%</t>
    </r>
    <r>
      <rPr>
        <sz val="10.5"/>
        <color theme="1"/>
        <rFont val="宋体"/>
        <family val="3"/>
        <charset val="134"/>
      </rPr>
      <t>计算，布袋除尘处理效率按</t>
    </r>
    <r>
      <rPr>
        <sz val="10.5"/>
        <color theme="1"/>
        <rFont val="Times New Roman"/>
        <family val="1"/>
      </rPr>
      <t>99%</t>
    </r>
    <r>
      <rPr>
        <sz val="10.5"/>
        <color theme="1"/>
        <rFont val="宋体"/>
        <family val="3"/>
        <charset val="134"/>
      </rPr>
      <t>计算，风机风量为</t>
    </r>
    <r>
      <rPr>
        <sz val="10.5"/>
        <color rgb="FFFF0000"/>
        <rFont val="Times New Roman"/>
        <family val="1"/>
      </rPr>
      <t>10000m</t>
    </r>
    <r>
      <rPr>
        <vertAlign val="superscript"/>
        <sz val="10.5"/>
        <color rgb="FFFF0000"/>
        <rFont val="Times New Roman"/>
        <family val="1"/>
      </rPr>
      <t>3</t>
    </r>
    <r>
      <rPr>
        <sz val="10.5"/>
        <color rgb="FFFF0000"/>
        <rFont val="Times New Roman"/>
        <family val="1"/>
      </rPr>
      <t>/h</t>
    </r>
    <r>
      <rPr>
        <sz val="10.5"/>
        <color theme="1"/>
        <rFont val="宋体"/>
        <family val="3"/>
        <charset val="134"/>
      </rPr>
      <t>，则项目抛光粉尘产排情况见表</t>
    </r>
  </si>
  <si>
    <r>
      <t>项目打磨过程中会产生大量的粉尘，污染因子为颗粒物。项目的抛光机械配套脉冲式布袋除尘器，抛光产生的粉尘经布袋除尘处理后于</t>
    </r>
    <r>
      <rPr>
        <sz val="10.5"/>
        <color theme="1"/>
        <rFont val="Times New Roman"/>
        <family val="1"/>
      </rPr>
      <t>15</t>
    </r>
    <r>
      <rPr>
        <sz val="10.5"/>
        <color theme="1"/>
        <rFont val="宋体"/>
        <family val="3"/>
        <charset val="134"/>
      </rPr>
      <t>米排气筒排放，经处理后烟尘的</t>
    </r>
    <r>
      <rPr>
        <sz val="10.5"/>
        <color rgb="FFFF0000"/>
        <rFont val="宋体"/>
        <family val="3"/>
        <charset val="134"/>
      </rPr>
      <t>排放速率为</t>
    </r>
    <r>
      <rPr>
        <sz val="10.5"/>
        <color rgb="FFFF0000"/>
        <rFont val="Times New Roman"/>
        <family val="1"/>
      </rPr>
      <t>0.1kg/h</t>
    </r>
    <r>
      <rPr>
        <sz val="10.5"/>
        <color rgb="FFFF0000"/>
        <rFont val="宋体"/>
        <family val="3"/>
        <charset val="134"/>
      </rPr>
      <t>，排放浓度为</t>
    </r>
    <r>
      <rPr>
        <sz val="10.5"/>
        <color rgb="FFFF0000"/>
        <rFont val="Times New Roman"/>
        <family val="1"/>
      </rPr>
      <t>6.5 mg/m</t>
    </r>
    <r>
      <rPr>
        <vertAlign val="superscript"/>
        <sz val="10.5"/>
        <color rgb="FFFF0000"/>
        <rFont val="Times New Roman"/>
        <family val="1"/>
      </rPr>
      <t>3</t>
    </r>
    <r>
      <rPr>
        <sz val="10.5"/>
        <color theme="1"/>
        <rFont val="宋体"/>
        <family val="3"/>
        <charset val="134"/>
      </rPr>
      <t>，符合广东省地方标准《大气污染物排放限值》（</t>
    </r>
    <r>
      <rPr>
        <sz val="10.5"/>
        <color theme="1"/>
        <rFont val="Times New Roman"/>
        <family val="1"/>
      </rPr>
      <t>DB 44/27-2001</t>
    </r>
    <r>
      <rPr>
        <sz val="10.5"/>
        <color theme="1"/>
        <rFont val="宋体"/>
        <family val="3"/>
        <charset val="134"/>
      </rPr>
      <t>）第二时段二级标准，对周围空气质量影响不大。</t>
    </r>
  </si>
  <si>
    <t>抛光粉尘(布轮)</t>
    <phoneticPr fontId="6" type="noConversion"/>
  </si>
  <si>
    <t>抛光粉尘(钢)</t>
    <phoneticPr fontId="6" type="noConversion"/>
  </si>
  <si>
    <r>
      <t>颗粒物执行广东省地方标准《大气污染物排放限值》（</t>
    </r>
    <r>
      <rPr>
        <sz val="10.5"/>
        <color theme="1"/>
        <rFont val="Times New Roman"/>
        <family val="1"/>
      </rPr>
      <t>DB44/27-2001</t>
    </r>
    <r>
      <rPr>
        <sz val="10.5"/>
        <color theme="1"/>
        <rFont val="宋体"/>
        <family val="3"/>
        <charset val="134"/>
      </rPr>
      <t>）第二时段标准：颗粒物无组织排放监控点浓度限值</t>
    </r>
    <r>
      <rPr>
        <sz val="10.5"/>
        <color theme="1"/>
        <rFont val="Times New Roman"/>
        <family val="1"/>
      </rPr>
      <t>1.0mg/m</t>
    </r>
    <r>
      <rPr>
        <vertAlign val="superscript"/>
        <sz val="10.5"/>
        <color theme="1"/>
        <rFont val="Times New Roman"/>
        <family val="1"/>
      </rPr>
      <t>3</t>
    </r>
    <r>
      <rPr>
        <sz val="10.5"/>
        <color theme="1"/>
        <rFont val="宋体"/>
        <family val="3"/>
        <charset val="134"/>
      </rPr>
      <t>；颗粒物最高允许排放浓度</t>
    </r>
    <r>
      <rPr>
        <sz val="10.5"/>
        <color theme="1"/>
        <rFont val="Times New Roman"/>
        <family val="1"/>
      </rPr>
      <t>120mg/m</t>
    </r>
    <r>
      <rPr>
        <vertAlign val="superscript"/>
        <sz val="10.5"/>
        <color theme="1"/>
        <rFont val="Times New Roman"/>
        <family val="1"/>
      </rPr>
      <t>4。</t>
    </r>
    <r>
      <rPr>
        <sz val="10.5"/>
        <color theme="1"/>
        <rFont val="宋体"/>
        <family val="3"/>
        <charset val="134"/>
      </rPr>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</si>
</sst>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0_);[Red]\(0.00\)"/>
    <numFmt numFmtId="177" formatCode="0.0"/>
    <numFmt numFmtId="178" formatCode="0.0000%"/>
    <numFmt numFmtId="179" formatCode="0.000%"/>
  </numFmts>
  <fonts count="93" x14ac:knownFonts="1">
    <font>
      <sz val="11"/>
      <color theme="1"/>
      <name val="等线"/>
      <family val="2"/>
      <scheme val="minor"/>
    </font>
    <font>
      <sz val="11"/>
      <color theme="1"/>
      <name val="等线"/>
      <family val="2"/>
      <charset val="134"/>
      <scheme val="minor"/>
    </font>
    <font>
      <sz val="11"/>
      <color theme="1"/>
      <name val="等线"/>
      <family val="2"/>
      <charset val="134"/>
      <scheme val="minor"/>
    </font>
    <font>
      <sz val="11"/>
      <color theme="1"/>
      <name val="等线"/>
      <family val="2"/>
      <charset val="134"/>
      <scheme val="minor"/>
    </font>
    <font>
      <sz val="11"/>
      <color theme="1"/>
      <name val="等线"/>
      <family val="2"/>
      <charset val="134"/>
      <scheme val="minor"/>
    </font>
    <font>
      <sz val="9"/>
      <color indexed="8"/>
      <name val="宋体"/>
      <family val="3"/>
      <charset val="134"/>
    </font>
    <font>
      <sz val="9"/>
      <name val="等线"/>
      <family val="3"/>
      <charset val="134"/>
      <scheme val="minor"/>
    </font>
    <font>
      <sz val="9"/>
      <name val="等线"/>
      <family val="3"/>
      <charset val="134"/>
    </font>
    <font>
      <sz val="9"/>
      <color indexed="8"/>
      <name val="Times New Roman"/>
      <family val="1"/>
    </font>
    <font>
      <b/>
      <sz val="9"/>
      <color indexed="8"/>
      <name val="宋体"/>
      <family val="3"/>
      <charset val="134"/>
    </font>
    <font>
      <b/>
      <sz val="9"/>
      <color indexed="8"/>
      <name val="Times New Roman"/>
      <family val="1"/>
    </font>
    <font>
      <sz val="9"/>
      <color theme="1"/>
      <name val="Times New Roman"/>
      <family val="1"/>
    </font>
    <font>
      <b/>
      <sz val="9"/>
      <color theme="1"/>
      <name val="Times New Roman"/>
      <family val="1"/>
    </font>
    <font>
      <sz val="9"/>
      <name val="宋体"/>
      <family val="3"/>
      <charset val="134"/>
    </font>
    <font>
      <sz val="10"/>
      <color rgb="FFFF0000"/>
      <name val="Times New Roman"/>
      <family val="1"/>
    </font>
    <font>
      <sz val="10"/>
      <color theme="1"/>
      <name val="等线"/>
      <family val="3"/>
      <charset val="134"/>
      <scheme val="minor"/>
    </font>
    <font>
      <sz val="10"/>
      <name val="宋体"/>
      <family val="3"/>
      <charset val="134"/>
    </font>
    <font>
      <sz val="10"/>
      <name val="等线"/>
      <family val="3"/>
      <charset val="134"/>
      <scheme val="minor"/>
    </font>
    <font>
      <sz val="11"/>
      <name val="等线"/>
      <family val="3"/>
      <charset val="134"/>
      <scheme val="minor"/>
    </font>
    <font>
      <vertAlign val="subscript"/>
      <sz val="10"/>
      <color indexed="10"/>
      <name val="Times New Roman"/>
      <family val="1"/>
    </font>
    <font>
      <sz val="10"/>
      <color indexed="10"/>
      <name val="Times New Roman"/>
      <family val="1"/>
    </font>
    <font>
      <sz val="10"/>
      <color theme="1"/>
      <name val="Times New Roman"/>
      <family val="1"/>
    </font>
    <font>
      <sz val="10"/>
      <color rgb="FFFF0000"/>
      <name val="宋体"/>
      <family val="3"/>
      <charset val="134"/>
    </font>
    <font>
      <sz val="9"/>
      <name val="等线"/>
      <family val="2"/>
      <charset val="134"/>
      <scheme val="minor"/>
    </font>
    <font>
      <sz val="10"/>
      <color theme="1"/>
      <name val="宋体"/>
      <family val="3"/>
      <charset val="134"/>
    </font>
    <font>
      <sz val="10"/>
      <name val="Times New Roman"/>
      <family val="1"/>
    </font>
    <font>
      <sz val="10"/>
      <color indexed="10"/>
      <name val="宋体"/>
      <family val="3"/>
      <charset val="134"/>
    </font>
    <font>
      <sz val="10.5"/>
      <name val="Times New Roman"/>
      <family val="1"/>
    </font>
    <font>
      <sz val="10.5"/>
      <name val="宋体"/>
      <family val="3"/>
      <charset val="134"/>
    </font>
    <font>
      <sz val="10.5"/>
      <color rgb="FFFF0000"/>
      <name val="Times New Roman"/>
      <family val="1"/>
    </font>
    <font>
      <sz val="10.5"/>
      <color theme="1"/>
      <name val="Times New Roman"/>
      <family val="1"/>
    </font>
    <font>
      <vertAlign val="superscript"/>
      <sz val="9"/>
      <color indexed="8"/>
      <name val="Times New Roman"/>
      <family val="1"/>
    </font>
    <font>
      <sz val="11"/>
      <color theme="1"/>
      <name val="等线"/>
      <family val="3"/>
      <charset val="134"/>
      <scheme val="minor"/>
    </font>
    <font>
      <sz val="11"/>
      <color theme="1"/>
      <name val="等线"/>
      <family val="3"/>
      <charset val="134"/>
      <scheme val="minor"/>
    </font>
    <font>
      <b/>
      <sz val="9"/>
      <name val="宋体"/>
      <family val="3"/>
      <charset val="134"/>
    </font>
    <font>
      <b/>
      <sz val="9"/>
      <name val="Times New Roman"/>
      <family val="1"/>
    </font>
    <font>
      <sz val="9"/>
      <color theme="1"/>
      <name val="宋体"/>
      <family val="3"/>
      <charset val="134"/>
    </font>
    <font>
      <sz val="11"/>
      <color theme="1"/>
      <name val="等线"/>
      <family val="2"/>
      <scheme val="minor"/>
    </font>
    <font>
      <sz val="11"/>
      <color rgb="FFFF0000"/>
      <name val="等线"/>
      <family val="2"/>
      <scheme val="minor"/>
    </font>
    <font>
      <b/>
      <sz val="10"/>
      <color rgb="FFFFFFFF"/>
      <name val="Arial"/>
      <family val="2"/>
    </font>
    <font>
      <sz val="10"/>
      <color rgb="FF000000"/>
      <name val="Arial"/>
      <family val="2"/>
    </font>
    <font>
      <sz val="10"/>
      <color rgb="FF000000"/>
      <name val="等线"/>
      <family val="3"/>
      <charset val="134"/>
    </font>
    <font>
      <sz val="10.5"/>
      <color theme="1"/>
      <name val="宋体"/>
      <family val="3"/>
      <charset val="134"/>
    </font>
    <font>
      <sz val="10.5"/>
      <color rgb="FFFF0000"/>
      <name val="宋体"/>
      <family val="3"/>
      <charset val="134"/>
    </font>
    <font>
      <sz val="10.5"/>
      <color indexed="8"/>
      <name val="宋体"/>
      <family val="3"/>
      <charset val="134"/>
    </font>
    <font>
      <sz val="10.5"/>
      <color indexed="8"/>
      <name val="Times New Roman"/>
      <family val="1"/>
    </font>
    <font>
      <sz val="11"/>
      <color theme="0"/>
      <name val="等线"/>
      <family val="2"/>
      <charset val="134"/>
      <scheme val="minor"/>
    </font>
    <font>
      <sz val="9"/>
      <color rgb="FF000000"/>
      <name val="宋体"/>
      <family val="3"/>
      <charset val="134"/>
    </font>
    <font>
      <sz val="11"/>
      <color theme="0"/>
      <name val="等线"/>
      <family val="3"/>
      <charset val="134"/>
      <scheme val="minor"/>
    </font>
    <font>
      <b/>
      <sz val="9"/>
      <color rgb="FF00B0F0"/>
      <name val="宋体"/>
      <family val="3"/>
      <charset val="134"/>
    </font>
    <font>
      <b/>
      <sz val="9"/>
      <color rgb="FF00B0F0"/>
      <name val="Times New Roman"/>
      <family val="1"/>
    </font>
    <font>
      <sz val="11"/>
      <color rgb="FFFFFF00"/>
      <name val="等线"/>
      <family val="2"/>
      <scheme val="minor"/>
    </font>
    <font>
      <vertAlign val="superscript"/>
      <sz val="11"/>
      <color theme="1"/>
      <name val="等线"/>
      <family val="3"/>
      <charset val="134"/>
      <scheme val="minor"/>
    </font>
    <font>
      <sz val="9"/>
      <color rgb="FFFF0000"/>
      <name val="宋体"/>
      <family val="3"/>
      <charset val="134"/>
    </font>
    <font>
      <sz val="9"/>
      <color rgb="FF000000"/>
      <name val="Times New Roman"/>
      <family val="1"/>
    </font>
    <font>
      <sz val="9"/>
      <color theme="1"/>
      <name val="等线"/>
      <family val="2"/>
      <scheme val="minor"/>
    </font>
    <font>
      <sz val="9"/>
      <color theme="1"/>
      <name val="等线"/>
      <family val="3"/>
      <charset val="134"/>
      <scheme val="minor"/>
    </font>
    <font>
      <b/>
      <sz val="10.5"/>
      <color theme="1"/>
      <name val="宋体"/>
      <family val="3"/>
      <charset val="134"/>
    </font>
    <font>
      <b/>
      <sz val="10.5"/>
      <color theme="1"/>
      <name val="Times New Roman"/>
      <family val="1"/>
    </font>
    <font>
      <sz val="11"/>
      <color rgb="FFFF0000"/>
      <name val="等线"/>
      <family val="3"/>
      <charset val="134"/>
      <scheme val="minor"/>
    </font>
    <font>
      <b/>
      <sz val="11"/>
      <color rgb="FFFF0000"/>
      <name val="等线"/>
      <family val="3"/>
      <charset val="134"/>
      <scheme val="minor"/>
    </font>
    <font>
      <b/>
      <sz val="9"/>
      <color rgb="FFFF0000"/>
      <name val="宋体"/>
      <family val="3"/>
      <charset val="134"/>
    </font>
    <font>
      <sz val="10.5"/>
      <color theme="1"/>
      <name val="Calibri"/>
      <family val="2"/>
    </font>
    <font>
      <sz val="11"/>
      <color theme="1"/>
      <name val="宋体"/>
      <family val="3"/>
      <charset val="134"/>
    </font>
    <font>
      <vertAlign val="subscript"/>
      <sz val="11"/>
      <color theme="1"/>
      <name val="宋体"/>
      <family val="3"/>
      <charset val="134"/>
    </font>
    <font>
      <sz val="10.5"/>
      <color theme="1"/>
      <name val="等线"/>
      <family val="2"/>
      <scheme val="minor"/>
    </font>
    <font>
      <b/>
      <sz val="10.5"/>
      <name val="宋体"/>
      <family val="3"/>
      <charset val="134"/>
    </font>
    <font>
      <b/>
      <sz val="10.5"/>
      <color rgb="FF000000"/>
      <name val="宋体"/>
      <family val="3"/>
      <charset val="134"/>
    </font>
    <font>
      <vertAlign val="superscript"/>
      <sz val="10.5"/>
      <name val="Times New Roman"/>
      <family val="1"/>
    </font>
    <font>
      <vertAlign val="subscript"/>
      <sz val="10.5"/>
      <name val="Times New Roman"/>
      <family val="1"/>
    </font>
    <font>
      <vertAlign val="superscript"/>
      <sz val="10.5"/>
      <color rgb="FFFF0000"/>
      <name val="Times New Roman"/>
      <family val="1"/>
    </font>
    <font>
      <b/>
      <sz val="10.5"/>
      <color rgb="FF000000"/>
      <name val="Times New Roman"/>
      <family val="1"/>
    </font>
    <font>
      <vertAlign val="superscript"/>
      <sz val="10.5"/>
      <color theme="1"/>
      <name val="Times New Roman"/>
      <family val="1"/>
    </font>
    <font>
      <sz val="10.5"/>
      <color rgb="FF000000"/>
      <name val="Times New Roman"/>
      <family val="1"/>
    </font>
    <font>
      <sz val="10.5"/>
      <color rgb="FF000000"/>
      <name val="宋体"/>
      <family val="3"/>
      <charset val="134"/>
    </font>
    <font>
      <vertAlign val="subscript"/>
      <sz val="10.5"/>
      <color theme="1"/>
      <name val="Times New Roman"/>
      <family val="1"/>
    </font>
    <font>
      <b/>
      <sz val="10.5"/>
      <color rgb="FFFF0000"/>
      <name val="宋体"/>
      <family val="3"/>
      <charset val="134"/>
    </font>
    <font>
      <b/>
      <sz val="10.5"/>
      <color theme="1"/>
      <name val="等线"/>
      <family val="3"/>
      <charset val="134"/>
      <scheme val="minor"/>
    </font>
    <font>
      <b/>
      <sz val="11"/>
      <color rgb="FF000000"/>
      <name val="宋体"/>
      <family val="3"/>
      <charset val="134"/>
    </font>
    <font>
      <sz val="11"/>
      <color rgb="FF000000"/>
      <name val="宋体"/>
      <family val="3"/>
      <charset val="134"/>
    </font>
    <font>
      <b/>
      <sz val="11"/>
      <color theme="1"/>
      <name val="等线"/>
      <family val="3"/>
      <charset val="134"/>
      <scheme val="minor"/>
    </font>
    <font>
      <sz val="10.5"/>
      <color theme="1"/>
      <name val="等线"/>
      <family val="3"/>
      <charset val="134"/>
      <scheme val="minor"/>
    </font>
    <font>
      <sz val="12"/>
      <color theme="1"/>
      <name val="等线"/>
      <family val="3"/>
      <charset val="134"/>
      <scheme val="minor"/>
    </font>
    <font>
      <sz val="12"/>
      <color theme="1"/>
      <name val="Times New Roman"/>
      <family val="1"/>
    </font>
    <font>
      <sz val="12"/>
      <color rgb="FFFF0000"/>
      <name val="Times New Roman"/>
      <family val="1"/>
    </font>
    <font>
      <sz val="12"/>
      <color rgb="FFFF0000"/>
      <name val="等线"/>
      <family val="3"/>
      <charset val="134"/>
      <scheme val="minor"/>
    </font>
    <font>
      <sz val="12"/>
      <color rgb="FFFF0000"/>
      <name val="宋体"/>
      <family val="3"/>
      <charset val="134"/>
    </font>
    <font>
      <b/>
      <sz val="12"/>
      <color rgb="FF000000"/>
      <name val="等线"/>
      <family val="3"/>
      <charset val="134"/>
      <scheme val="minor"/>
    </font>
    <font>
      <sz val="12"/>
      <color theme="1"/>
      <name val="宋体"/>
      <family val="3"/>
      <charset val="134"/>
    </font>
    <font>
      <sz val="12"/>
      <color rgb="FF000000"/>
      <name val="宋体"/>
      <family val="3"/>
      <charset val="134"/>
    </font>
    <font>
      <b/>
      <sz val="11"/>
      <color rgb="FF000000"/>
      <name val="等线"/>
      <family val="3"/>
      <charset val="134"/>
    </font>
    <font>
      <sz val="11"/>
      <color rgb="FF000000"/>
      <name val="等线"/>
      <family val="3"/>
      <charset val="134"/>
    </font>
    <font>
      <vertAlign val="subscript"/>
      <sz val="11"/>
      <color rgb="FF000000"/>
      <name val="宋体"/>
      <family val="3"/>
      <charset val="134"/>
    </font>
  </fonts>
  <fills count="14">
    <fill>
      <patternFill patternType="none"/>
    </fill>
    <fill>
      <patternFill patternType="gray125"/>
    </fill>
    <fill>
      <patternFill patternType="solid">
        <fgColor theme="7" tint="0.59999389629810485"/>
        <bgColor indexed="64"/>
      </patternFill>
    </fill>
    <fill>
      <patternFill patternType="solid">
        <fgColor theme="9" tint="0.59999389629810485"/>
        <bgColor indexed="64"/>
      </patternFill>
    </fill>
    <fill>
      <patternFill patternType="solid">
        <fgColor rgb="FF5B9BD5"/>
        <bgColor indexed="64"/>
      </patternFill>
    </fill>
    <fill>
      <patternFill patternType="solid">
        <fgColor rgb="FFD2DEEF"/>
        <bgColor indexed="64"/>
      </patternFill>
    </fill>
    <fill>
      <patternFill patternType="solid">
        <fgColor rgb="FFEAEFF7"/>
        <bgColor indexed="64"/>
      </patternFill>
    </fill>
    <fill>
      <patternFill patternType="solid">
        <fgColor theme="9"/>
      </patternFill>
    </fill>
    <fill>
      <patternFill patternType="solid">
        <fgColor rgb="FFFF0000"/>
        <bgColor indexed="64"/>
      </patternFill>
    </fill>
    <fill>
      <patternFill patternType="solid">
        <fgColor theme="4" tint="0.59999389629810485"/>
        <bgColor indexed="64"/>
      </patternFill>
    </fill>
    <fill>
      <patternFill patternType="solid">
        <fgColor rgb="FFFF9FFF"/>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59999389629810485"/>
        <bgColor indexed="64"/>
      </patternFill>
    </fill>
  </fills>
  <borders count="17">
    <border>
      <left/>
      <right/>
      <top/>
      <bottom/>
      <diagonal/>
    </border>
    <border>
      <left/>
      <right style="thin">
        <color auto="1"/>
      </right>
      <top/>
      <bottom/>
      <diagonal/>
    </border>
    <border>
      <left style="medium">
        <color auto="1"/>
      </left>
      <right style="medium">
        <color indexed="64"/>
      </right>
      <top style="medium">
        <color auto="1"/>
      </top>
      <bottom style="medium">
        <color auto="1"/>
      </bottom>
      <diagonal/>
    </border>
    <border>
      <left style="medium">
        <color rgb="FFFFFFFF"/>
      </left>
      <right style="medium">
        <color rgb="FFFFFFFF"/>
      </right>
      <top style="thick">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style="medium">
        <color auto="1"/>
      </left>
      <right style="medium">
        <color indexed="64"/>
      </right>
      <top style="medium">
        <color auto="1"/>
      </top>
      <bottom/>
      <diagonal/>
    </border>
    <border>
      <left/>
      <right/>
      <top/>
      <bottom style="medium">
        <color rgb="FFFFFFFF"/>
      </bottom>
      <diagonal/>
    </border>
    <border>
      <left style="medium">
        <color rgb="FFFFFFFF"/>
      </left>
      <right style="medium">
        <color rgb="FFFFFFFF"/>
      </right>
      <top style="medium">
        <color rgb="FFFFFFFF"/>
      </top>
      <bottom style="thick">
        <color rgb="FFFFFFFF"/>
      </bottom>
      <diagonal/>
    </border>
    <border>
      <left style="medium">
        <color rgb="FFFFFFFF"/>
      </left>
      <right style="medium">
        <color rgb="FFFFFFFF"/>
      </right>
      <top style="medium">
        <color rgb="FFFFFFFF"/>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auto="1"/>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s>
  <cellStyleXfs count="11">
    <xf numFmtId="0" fontId="0" fillId="0" borderId="0"/>
    <xf numFmtId="0" fontId="4" fillId="0" borderId="0">
      <alignment vertical="center"/>
    </xf>
    <xf numFmtId="0" fontId="32" fillId="0" borderId="0">
      <alignment vertical="center"/>
    </xf>
    <xf numFmtId="0" fontId="33" fillId="0" borderId="0">
      <alignment vertical="center"/>
    </xf>
    <xf numFmtId="0" fontId="3" fillId="0" borderId="0">
      <alignment vertical="center"/>
    </xf>
    <xf numFmtId="0" fontId="37" fillId="0" borderId="0"/>
    <xf numFmtId="0" fontId="46" fillId="7" borderId="0" applyNumberFormat="0" applyBorder="0" applyAlignment="0" applyProtection="0">
      <alignment vertical="center"/>
    </xf>
    <xf numFmtId="0" fontId="2" fillId="0" borderId="0">
      <alignment vertical="center"/>
    </xf>
    <xf numFmtId="0" fontId="1" fillId="0" borderId="0">
      <alignment vertical="center"/>
    </xf>
    <xf numFmtId="0" fontId="37" fillId="0" borderId="0"/>
    <xf numFmtId="0" fontId="32" fillId="0" borderId="0"/>
  </cellStyleXfs>
  <cellXfs count="188">
    <xf numFmtId="0" fontId="0" fillId="0" borderId="0" xfId="0"/>
    <xf numFmtId="0" fontId="0" fillId="0" borderId="0" xfId="0" applyAlignment="1">
      <alignment vertical="center"/>
    </xf>
    <xf numFmtId="0" fontId="12" fillId="0" borderId="0" xfId="0" applyFont="1" applyAlignment="1">
      <alignment horizontal="center" vertical="center" wrapText="1"/>
    </xf>
    <xf numFmtId="0" fontId="12" fillId="0" borderId="0" xfId="0" applyFont="1" applyBorder="1" applyAlignment="1">
      <alignment horizontal="center" vertical="center" wrapText="1"/>
    </xf>
    <xf numFmtId="176" fontId="11" fillId="0" borderId="0"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12" fillId="0" borderId="1" xfId="0" applyFont="1" applyBorder="1" applyAlignment="1">
      <alignment horizontal="center" vertical="center" wrapText="1"/>
    </xf>
    <xf numFmtId="0" fontId="4" fillId="0" borderId="0" xfId="1">
      <alignment vertical="center"/>
    </xf>
    <xf numFmtId="0" fontId="14" fillId="0" borderId="0" xfId="1" applyFont="1" applyBorder="1" applyAlignment="1">
      <alignment horizontal="center" vertical="center" wrapText="1"/>
    </xf>
    <xf numFmtId="0" fontId="15" fillId="0" borderId="0" xfId="1" applyFont="1" applyBorder="1" applyAlignment="1">
      <alignment horizontal="center" vertical="center" wrapText="1"/>
    </xf>
    <xf numFmtId="0" fontId="16" fillId="0" borderId="0" xfId="1" applyFont="1" applyBorder="1" applyAlignment="1">
      <alignment horizontal="center" vertical="center" wrapText="1"/>
    </xf>
    <xf numFmtId="0" fontId="17" fillId="0" borderId="0" xfId="1" applyFont="1" applyBorder="1" applyAlignment="1">
      <alignment horizontal="center" vertical="center" wrapText="1"/>
    </xf>
    <xf numFmtId="0" fontId="18" fillId="0" borderId="0" xfId="1" applyFont="1">
      <alignment vertical="center"/>
    </xf>
    <xf numFmtId="0" fontId="21" fillId="0" borderId="0" xfId="1" applyFont="1" applyBorder="1" applyAlignment="1">
      <alignment horizontal="center" vertical="center" wrapText="1"/>
    </xf>
    <xf numFmtId="0" fontId="24" fillId="0" borderId="0" xfId="1" applyFont="1" applyBorder="1" applyAlignment="1">
      <alignment horizontal="center" vertical="center" wrapText="1"/>
    </xf>
    <xf numFmtId="0" fontId="22" fillId="0" borderId="0" xfId="1" applyFont="1" applyBorder="1" applyAlignment="1">
      <alignment horizontal="center" vertical="center" wrapText="1"/>
    </xf>
    <xf numFmtId="0" fontId="15" fillId="0" borderId="0" xfId="1" applyFont="1" applyBorder="1">
      <alignment vertical="center"/>
    </xf>
    <xf numFmtId="0" fontId="22" fillId="0" borderId="0" xfId="1" applyFont="1" applyBorder="1" applyAlignment="1">
      <alignment vertical="center" wrapText="1"/>
    </xf>
    <xf numFmtId="0" fontId="20" fillId="0" borderId="0" xfId="1" applyFont="1" applyBorder="1" applyAlignment="1">
      <alignment horizontal="center" vertical="center" wrapText="1"/>
    </xf>
    <xf numFmtId="0" fontId="24" fillId="0" borderId="0" xfId="1" applyFont="1" applyFill="1" applyBorder="1" applyAlignment="1">
      <alignment horizontal="center" vertical="center" wrapText="1"/>
    </xf>
    <xf numFmtId="0" fontId="27" fillId="0" borderId="0" xfId="1" applyFont="1" applyBorder="1" applyAlignment="1">
      <alignment vertical="center" wrapText="1"/>
    </xf>
    <xf numFmtId="0" fontId="28" fillId="0" borderId="0" xfId="1" applyFont="1" applyBorder="1" applyAlignment="1">
      <alignment vertical="center" wrapText="1"/>
    </xf>
    <xf numFmtId="0" fontId="29" fillId="0" borderId="0" xfId="1" applyFont="1" applyBorder="1" applyAlignment="1">
      <alignment vertical="center" wrapText="1"/>
    </xf>
    <xf numFmtId="0" fontId="18" fillId="0" borderId="0" xfId="1" applyFont="1" applyBorder="1">
      <alignment vertical="center"/>
    </xf>
    <xf numFmtId="0" fontId="3" fillId="0" borderId="0" xfId="4" applyAlignment="1"/>
    <xf numFmtId="0" fontId="35" fillId="0" borderId="0" xfId="4" applyFont="1" applyAlignment="1">
      <alignment horizontal="center" vertical="center" wrapText="1"/>
    </xf>
    <xf numFmtId="0" fontId="34" fillId="0" borderId="0" xfId="4" applyFont="1" applyBorder="1" applyAlignment="1">
      <alignment horizontal="center" vertical="center" wrapText="1"/>
    </xf>
    <xf numFmtId="0" fontId="34" fillId="0" borderId="1" xfId="4" applyFont="1" applyBorder="1" applyAlignment="1">
      <alignment horizontal="center" vertical="center" wrapText="1"/>
    </xf>
    <xf numFmtId="0" fontId="34" fillId="0" borderId="0" xfId="4" applyFont="1" applyBorder="1" applyAlignment="1">
      <alignment horizontal="center" vertical="center" wrapText="1"/>
    </xf>
    <xf numFmtId="49" fontId="14" fillId="0" borderId="0" xfId="1" applyNumberFormat="1" applyFont="1" applyBorder="1" applyAlignment="1">
      <alignment horizontal="center" vertical="center" wrapText="1"/>
    </xf>
    <xf numFmtId="0" fontId="0" fillId="0" borderId="0" xfId="0" applyAlignment="1">
      <alignment horizontal="center"/>
    </xf>
    <xf numFmtId="0" fontId="5" fillId="0" borderId="0" xfId="0" applyFont="1" applyAlignment="1">
      <alignment horizontal="center" vertical="center"/>
    </xf>
    <xf numFmtId="0" fontId="5" fillId="0" borderId="0" xfId="0" applyFont="1" applyBorder="1" applyAlignment="1">
      <alignment horizontal="center" vertical="center"/>
    </xf>
    <xf numFmtId="0" fontId="13" fillId="0" borderId="0" xfId="0" applyFont="1" applyBorder="1" applyAlignment="1">
      <alignment horizontal="center" vertical="center"/>
    </xf>
    <xf numFmtId="0" fontId="38" fillId="0" borderId="0" xfId="0" applyFont="1"/>
    <xf numFmtId="0" fontId="39" fillId="4" borderId="3" xfId="0" applyFont="1" applyFill="1" applyBorder="1" applyAlignment="1">
      <alignment horizontal="left" vertical="center" wrapText="1" readingOrder="1"/>
    </xf>
    <xf numFmtId="0" fontId="40" fillId="5" borderId="3" xfId="0" applyFont="1" applyFill="1" applyBorder="1" applyAlignment="1">
      <alignment horizontal="left" vertical="center" wrapText="1" readingOrder="1"/>
    </xf>
    <xf numFmtId="0" fontId="41" fillId="5" borderId="3" xfId="0" applyFont="1" applyFill="1" applyBorder="1" applyAlignment="1">
      <alignment horizontal="left" vertical="center" wrapText="1" readingOrder="1"/>
    </xf>
    <xf numFmtId="0" fontId="39" fillId="4" borderId="4" xfId="0" applyFont="1" applyFill="1" applyBorder="1" applyAlignment="1">
      <alignment horizontal="left" vertical="center" wrapText="1" readingOrder="1"/>
    </xf>
    <xf numFmtId="0" fontId="40" fillId="6" borderId="4" xfId="0" applyFont="1" applyFill="1" applyBorder="1" applyAlignment="1">
      <alignment horizontal="left" vertical="center" wrapText="1" readingOrder="1"/>
    </xf>
    <xf numFmtId="0" fontId="41" fillId="6" borderId="4" xfId="0" applyFont="1" applyFill="1" applyBorder="1" applyAlignment="1">
      <alignment horizontal="left" vertical="center" wrapText="1" readingOrder="1"/>
    </xf>
    <xf numFmtId="0" fontId="40" fillId="5" borderId="4" xfId="0" applyFont="1" applyFill="1" applyBorder="1" applyAlignment="1">
      <alignment horizontal="left" vertical="center" wrapText="1" readingOrder="1"/>
    </xf>
    <xf numFmtId="0" fontId="41" fillId="5" borderId="4" xfId="0" applyFont="1" applyFill="1" applyBorder="1" applyAlignment="1">
      <alignment horizontal="left" vertical="center" wrapText="1" readingOrder="1"/>
    </xf>
    <xf numFmtId="0" fontId="0" fillId="0" borderId="0" xfId="0" applyAlignment="1"/>
    <xf numFmtId="0" fontId="44" fillId="0" borderId="0" xfId="0" applyFont="1" applyAlignment="1">
      <alignment horizontal="center" vertical="center"/>
    </xf>
    <xf numFmtId="176" fontId="45" fillId="0" borderId="0" xfId="0" applyNumberFormat="1" applyFont="1" applyAlignment="1">
      <alignment horizontal="center" vertical="center" wrapText="1"/>
    </xf>
    <xf numFmtId="0" fontId="25" fillId="0" borderId="0" xfId="1" applyFont="1" applyBorder="1" applyAlignment="1">
      <alignment horizontal="center" vertical="center" wrapText="1"/>
    </xf>
    <xf numFmtId="0" fontId="25" fillId="0" borderId="0" xfId="1" applyFont="1" applyAlignment="1">
      <alignment horizontal="center" vertical="center"/>
    </xf>
    <xf numFmtId="0" fontId="47" fillId="0" borderId="0" xfId="0" applyFont="1" applyAlignment="1">
      <alignment horizontal="center" vertical="center"/>
    </xf>
    <xf numFmtId="0" fontId="47" fillId="0" borderId="0" xfId="0" applyFont="1" applyAlignment="1">
      <alignment horizontal="center" vertical="center" wrapText="1"/>
    </xf>
    <xf numFmtId="0" fontId="13" fillId="0" borderId="0" xfId="0" applyFont="1" applyAlignment="1">
      <alignment horizontal="center" vertical="center" wrapText="1"/>
    </xf>
    <xf numFmtId="0" fontId="11" fillId="0" borderId="0" xfId="0" applyFont="1" applyBorder="1" applyAlignment="1">
      <alignment horizontal="center" vertical="center" wrapText="1"/>
    </xf>
    <xf numFmtId="0" fontId="0" fillId="0" borderId="0" xfId="0" applyAlignment="1">
      <alignment vertical="center" wrapText="1"/>
    </xf>
    <xf numFmtId="0" fontId="47" fillId="0" borderId="2" xfId="0" applyFont="1" applyBorder="1" applyAlignment="1">
      <alignment horizontal="center" vertical="center" wrapText="1"/>
    </xf>
    <xf numFmtId="0" fontId="47" fillId="2" borderId="2" xfId="0" applyFont="1" applyFill="1" applyBorder="1" applyAlignment="1">
      <alignment horizontal="center" vertical="center" wrapText="1"/>
    </xf>
    <xf numFmtId="0" fontId="47" fillId="2" borderId="0" xfId="0" applyFont="1" applyFill="1" applyAlignment="1">
      <alignment horizontal="center" vertical="center" wrapText="1"/>
    </xf>
    <xf numFmtId="0" fontId="47" fillId="3" borderId="0" xfId="0" applyFont="1" applyFill="1" applyAlignment="1">
      <alignment horizontal="center" vertical="center" wrapText="1"/>
    </xf>
    <xf numFmtId="0" fontId="47" fillId="3" borderId="2" xfId="0" applyFont="1" applyFill="1" applyBorder="1" applyAlignment="1">
      <alignment horizontal="center" vertical="center" wrapText="1"/>
    </xf>
    <xf numFmtId="0" fontId="47" fillId="2" borderId="5" xfId="0" applyFont="1" applyFill="1" applyBorder="1" applyAlignment="1">
      <alignment horizontal="center" vertical="center" wrapText="1"/>
    </xf>
    <xf numFmtId="0" fontId="47" fillId="9" borderId="2" xfId="0" applyFont="1" applyFill="1" applyBorder="1" applyAlignment="1">
      <alignment horizontal="center" vertical="center" wrapText="1"/>
    </xf>
    <xf numFmtId="0" fontId="47" fillId="9" borderId="0" xfId="0" applyFont="1" applyFill="1" applyAlignment="1">
      <alignment horizontal="center" vertical="center" wrapText="1"/>
    </xf>
    <xf numFmtId="0" fontId="47" fillId="2" borderId="0" xfId="0" applyFont="1" applyFill="1" applyBorder="1" applyAlignment="1">
      <alignment horizontal="center" vertical="center" wrapText="1"/>
    </xf>
    <xf numFmtId="0" fontId="47" fillId="10" borderId="0" xfId="0" applyFont="1" applyFill="1" applyAlignment="1">
      <alignment horizontal="center" vertical="center" wrapText="1"/>
    </xf>
    <xf numFmtId="0" fontId="46" fillId="7" borderId="7" xfId="6" applyBorder="1" applyAlignment="1">
      <alignment wrapText="1" readingOrder="1"/>
    </xf>
    <xf numFmtId="0" fontId="46" fillId="7" borderId="3" xfId="6" applyBorder="1" applyAlignment="1">
      <alignment wrapText="1" readingOrder="1"/>
    </xf>
    <xf numFmtId="0" fontId="46" fillId="7" borderId="4" xfId="6" applyBorder="1" applyAlignment="1">
      <alignment wrapText="1" readingOrder="1"/>
    </xf>
    <xf numFmtId="0" fontId="49" fillId="0" borderId="0" xfId="0" applyFont="1" applyAlignment="1">
      <alignment horizontal="center" vertical="center"/>
    </xf>
    <xf numFmtId="0" fontId="49" fillId="0" borderId="0" xfId="0" applyFont="1" applyAlignment="1">
      <alignment horizontal="center" vertical="center" wrapText="1"/>
    </xf>
    <xf numFmtId="0" fontId="50" fillId="0" borderId="0" xfId="0" applyFont="1" applyAlignment="1">
      <alignment horizontal="center" vertical="center"/>
    </xf>
    <xf numFmtId="0" fontId="51" fillId="8" borderId="0" xfId="0" applyFont="1" applyFill="1"/>
    <xf numFmtId="0" fontId="2" fillId="0" borderId="0" xfId="7">
      <alignment vertical="center"/>
    </xf>
    <xf numFmtId="0" fontId="15" fillId="0" borderId="0" xfId="7" applyFont="1" applyAlignment="1">
      <alignment vertical="center" wrapText="1"/>
    </xf>
    <xf numFmtId="0" fontId="0" fillId="0" borderId="0" xfId="0" applyAlignment="1">
      <alignment wrapText="1"/>
    </xf>
    <xf numFmtId="0" fontId="46" fillId="7" borderId="8" xfId="6" applyBorder="1" applyAlignment="1">
      <alignment horizontal="center" vertical="center" wrapText="1" readingOrder="1"/>
    </xf>
    <xf numFmtId="0" fontId="0" fillId="11" borderId="2" xfId="0" applyFill="1" applyBorder="1" applyAlignment="1">
      <alignment horizontal="center" vertical="center"/>
    </xf>
    <xf numFmtId="0" fontId="32" fillId="0" borderId="0" xfId="0" applyFont="1" applyAlignment="1">
      <alignment vertical="center"/>
    </xf>
    <xf numFmtId="177" fontId="47" fillId="0" borderId="0" xfId="0" applyNumberFormat="1" applyFont="1" applyAlignment="1">
      <alignment horizontal="center" vertical="center" wrapText="1"/>
    </xf>
    <xf numFmtId="49" fontId="53" fillId="0" borderId="0" xfId="0" applyNumberFormat="1" applyFont="1" applyAlignment="1">
      <alignment horizontal="center" vertical="center" wrapText="1"/>
    </xf>
    <xf numFmtId="0" fontId="47" fillId="0" borderId="9" xfId="0" applyFont="1" applyBorder="1" applyAlignment="1">
      <alignment wrapText="1"/>
    </xf>
    <xf numFmtId="0" fontId="36" fillId="0" borderId="9" xfId="0" applyFont="1" applyBorder="1" applyAlignment="1">
      <alignment wrapText="1"/>
    </xf>
    <xf numFmtId="0" fontId="54" fillId="0" borderId="9" xfId="0" applyFont="1" applyBorder="1" applyAlignment="1">
      <alignment wrapText="1"/>
    </xf>
    <xf numFmtId="0" fontId="11" fillId="0" borderId="9" xfId="0" applyFont="1" applyBorder="1" applyAlignment="1">
      <alignment wrapText="1"/>
    </xf>
    <xf numFmtId="0" fontId="55" fillId="0" borderId="0" xfId="0" applyFont="1"/>
    <xf numFmtId="0" fontId="56" fillId="0" borderId="0" xfId="0" applyFont="1"/>
    <xf numFmtId="0" fontId="53" fillId="0" borderId="0" xfId="0" applyFont="1" applyFill="1" applyAlignment="1">
      <alignment horizontal="center" vertical="center"/>
    </xf>
    <xf numFmtId="0" fontId="53" fillId="0" borderId="0" xfId="0" applyFont="1" applyFill="1" applyAlignment="1">
      <alignment horizontal="center" vertical="center" wrapText="1"/>
    </xf>
    <xf numFmtId="0" fontId="42" fillId="0" borderId="12" xfId="0" applyFont="1" applyBorder="1" applyAlignment="1">
      <alignment horizontal="center" vertical="center" wrapText="1"/>
    </xf>
    <xf numFmtId="0" fontId="0" fillId="0" borderId="9" xfId="0" applyBorder="1" applyAlignment="1">
      <alignment horizontal="center" vertical="center"/>
    </xf>
    <xf numFmtId="0" fontId="42" fillId="0" borderId="9" xfId="0" applyFont="1" applyBorder="1" applyAlignment="1">
      <alignment horizontal="justify" vertical="center" wrapText="1"/>
    </xf>
    <xf numFmtId="0" fontId="5" fillId="0" borderId="9" xfId="0" applyFont="1" applyBorder="1" applyAlignment="1">
      <alignment horizontal="center" vertical="center"/>
    </xf>
    <xf numFmtId="0" fontId="0" fillId="0" borderId="9" xfId="0" applyBorder="1"/>
    <xf numFmtId="0" fontId="43" fillId="0" borderId="9" xfId="0" applyFont="1" applyBorder="1" applyAlignment="1">
      <alignment horizontal="justify" vertical="center" wrapText="1"/>
    </xf>
    <xf numFmtId="176" fontId="45" fillId="0" borderId="9" xfId="0" applyNumberFormat="1" applyFont="1" applyBorder="1" applyAlignment="1">
      <alignment horizontal="center" vertical="center" wrapText="1"/>
    </xf>
    <xf numFmtId="0" fontId="44" fillId="0" borderId="9" xfId="0" applyFont="1" applyBorder="1" applyAlignment="1">
      <alignment horizontal="center" vertical="center"/>
    </xf>
    <xf numFmtId="0" fontId="43" fillId="0" borderId="9" xfId="0" applyFont="1" applyBorder="1" applyAlignment="1">
      <alignment horizontal="center" vertical="center" wrapText="1"/>
    </xf>
    <xf numFmtId="0" fontId="57" fillId="0" borderId="2" xfId="0" applyFont="1" applyBorder="1" applyAlignment="1">
      <alignment horizontal="center" vertical="center" wrapText="1"/>
    </xf>
    <xf numFmtId="0" fontId="57" fillId="0" borderId="10" xfId="0" applyFont="1" applyBorder="1" applyAlignment="1">
      <alignment horizontal="center" vertical="center" wrapText="1"/>
    </xf>
    <xf numFmtId="0" fontId="30" fillId="0" borderId="12"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5" xfId="0" applyFont="1" applyBorder="1" applyAlignment="1">
      <alignment horizontal="center" vertical="center" wrapText="1"/>
    </xf>
    <xf numFmtId="0" fontId="60" fillId="0" borderId="0" xfId="0" applyFont="1" applyAlignment="1">
      <alignment horizontal="center" vertical="center" wrapText="1"/>
    </xf>
    <xf numFmtId="0" fontId="61" fillId="0" borderId="0" xfId="0" applyFont="1" applyAlignment="1">
      <alignment horizontal="center" vertical="center"/>
    </xf>
    <xf numFmtId="0" fontId="60" fillId="0" borderId="0" xfId="0" applyFont="1" applyAlignment="1">
      <alignment horizontal="left" vertical="center"/>
    </xf>
    <xf numFmtId="0" fontId="38" fillId="12" borderId="0" xfId="0" applyFont="1" applyFill="1" applyAlignment="1">
      <alignment vertical="center"/>
    </xf>
    <xf numFmtId="0" fontId="59" fillId="12" borderId="0" xfId="0" applyFont="1" applyFill="1" applyAlignment="1">
      <alignment vertical="center"/>
    </xf>
    <xf numFmtId="0" fontId="38" fillId="9" borderId="0" xfId="0" applyFont="1" applyFill="1" applyAlignment="1">
      <alignment horizontal="left" vertical="center"/>
    </xf>
    <xf numFmtId="0" fontId="59" fillId="9" borderId="0" xfId="0" applyFont="1" applyFill="1" applyAlignment="1">
      <alignment horizontal="left" vertical="center"/>
    </xf>
    <xf numFmtId="0" fontId="60" fillId="13" borderId="0" xfId="0" applyFont="1" applyFill="1" applyAlignment="1">
      <alignment horizontal="center" vertical="center"/>
    </xf>
    <xf numFmtId="0" fontId="62" fillId="0" borderId="0" xfId="0" applyFont="1" applyAlignment="1">
      <alignment horizontal="left" vertical="center"/>
    </xf>
    <xf numFmtId="0" fontId="63" fillId="0" borderId="0" xfId="0" applyFont="1"/>
    <xf numFmtId="0" fontId="30" fillId="0" borderId="0" xfId="8" applyFont="1" applyAlignment="1">
      <alignment horizontal="left" vertical="center"/>
    </xf>
    <xf numFmtId="0" fontId="58" fillId="0" borderId="0" xfId="8" applyFont="1" applyAlignment="1">
      <alignment horizontal="left" vertical="center"/>
    </xf>
    <xf numFmtId="0" fontId="42" fillId="0" borderId="0" xfId="8" applyFont="1" applyAlignment="1">
      <alignment horizontal="left" vertical="center"/>
    </xf>
    <xf numFmtId="9" fontId="30" fillId="0" borderId="0" xfId="8" applyNumberFormat="1" applyFont="1" applyAlignment="1">
      <alignment horizontal="left" vertical="center"/>
    </xf>
    <xf numFmtId="0" fontId="65" fillId="0" borderId="0" xfId="8" applyFont="1" applyAlignment="1">
      <alignment horizontal="center" vertical="center"/>
    </xf>
    <xf numFmtId="0" fontId="28" fillId="0" borderId="0" xfId="8" applyFont="1" applyAlignment="1">
      <alignment horizontal="left" vertical="center"/>
    </xf>
    <xf numFmtId="0" fontId="66" fillId="0" borderId="0" xfId="8" applyFont="1" applyAlignment="1">
      <alignment horizontal="left" vertical="center"/>
    </xf>
    <xf numFmtId="0" fontId="67" fillId="0" borderId="0" xfId="8" applyFont="1" applyAlignment="1">
      <alignment horizontal="left" vertical="center"/>
    </xf>
    <xf numFmtId="0" fontId="27" fillId="0" borderId="0" xfId="8" applyFont="1" applyAlignment="1">
      <alignment horizontal="left" vertical="center"/>
    </xf>
    <xf numFmtId="10" fontId="28" fillId="0" borderId="0" xfId="8" applyNumberFormat="1" applyFont="1" applyAlignment="1">
      <alignment horizontal="left" vertical="center"/>
    </xf>
    <xf numFmtId="9" fontId="27" fillId="0" borderId="0" xfId="8" applyNumberFormat="1" applyFont="1" applyAlignment="1">
      <alignment horizontal="left" vertical="center"/>
    </xf>
    <xf numFmtId="0" fontId="65" fillId="0" borderId="0" xfId="9" applyFont="1" applyAlignment="1">
      <alignment horizontal="center" vertical="center"/>
    </xf>
    <xf numFmtId="0" fontId="71" fillId="0" borderId="0" xfId="8" applyFont="1" applyAlignment="1">
      <alignment horizontal="left" vertical="center"/>
    </xf>
    <xf numFmtId="10" fontId="30" fillId="0" borderId="0" xfId="8" applyNumberFormat="1" applyFont="1" applyAlignment="1">
      <alignment horizontal="left" vertical="center"/>
    </xf>
    <xf numFmtId="0" fontId="73" fillId="0" borderId="0" xfId="8" applyFont="1" applyAlignment="1">
      <alignment horizontal="left" vertical="center"/>
    </xf>
    <xf numFmtId="9" fontId="42" fillId="0" borderId="0" xfId="8" applyNumberFormat="1" applyFont="1" applyAlignment="1">
      <alignment horizontal="left" vertical="center"/>
    </xf>
    <xf numFmtId="0" fontId="74" fillId="0" borderId="0" xfId="8" applyFont="1" applyAlignment="1">
      <alignment horizontal="left" vertical="center"/>
    </xf>
    <xf numFmtId="0" fontId="57" fillId="0" borderId="0" xfId="8" applyFont="1" applyAlignment="1">
      <alignment horizontal="left" vertical="center"/>
    </xf>
    <xf numFmtId="0" fontId="30" fillId="0" borderId="0" xfId="8" applyFont="1" applyFill="1" applyAlignment="1">
      <alignment horizontal="left" vertical="center"/>
    </xf>
    <xf numFmtId="0" fontId="58" fillId="0" borderId="0" xfId="8" applyFont="1" applyAlignment="1">
      <alignment vertical="center"/>
    </xf>
    <xf numFmtId="178" fontId="30" fillId="0" borderId="0" xfId="8" applyNumberFormat="1" applyFont="1" applyAlignment="1">
      <alignment horizontal="left" vertical="center"/>
    </xf>
    <xf numFmtId="0" fontId="43" fillId="0" borderId="0" xfId="8" applyFont="1" applyAlignment="1">
      <alignment horizontal="left" vertical="center"/>
    </xf>
    <xf numFmtId="0" fontId="29" fillId="0" borderId="0" xfId="8" applyFont="1" applyAlignment="1">
      <alignment horizontal="left" vertical="center"/>
    </xf>
    <xf numFmtId="9" fontId="29" fillId="0" borderId="0" xfId="8" applyNumberFormat="1" applyFont="1" applyAlignment="1">
      <alignment horizontal="left" vertical="center"/>
    </xf>
    <xf numFmtId="179" fontId="30" fillId="0" borderId="0" xfId="8" applyNumberFormat="1" applyFont="1" applyAlignment="1">
      <alignment horizontal="left" vertical="center"/>
    </xf>
    <xf numFmtId="0" fontId="76" fillId="0" borderId="0" xfId="8" applyFont="1" applyAlignment="1">
      <alignment horizontal="left" vertical="center"/>
    </xf>
    <xf numFmtId="10" fontId="29" fillId="0" borderId="0" xfId="8" applyNumberFormat="1" applyFont="1" applyAlignment="1">
      <alignment horizontal="left" vertical="center"/>
    </xf>
    <xf numFmtId="0" fontId="30" fillId="0" borderId="0" xfId="8" applyFont="1" applyAlignment="1">
      <alignment vertical="center"/>
    </xf>
    <xf numFmtId="0" fontId="77" fillId="0" borderId="0" xfId="9" applyFont="1" applyAlignment="1">
      <alignment horizontal="center" vertical="center"/>
    </xf>
    <xf numFmtId="0" fontId="80" fillId="0" borderId="0" xfId="9" applyFont="1"/>
    <xf numFmtId="0" fontId="1" fillId="0" borderId="0" xfId="8">
      <alignment vertical="center"/>
    </xf>
    <xf numFmtId="0" fontId="37" fillId="0" borderId="0" xfId="9"/>
    <xf numFmtId="0" fontId="77" fillId="0" borderId="0" xfId="8" applyFont="1" applyAlignment="1">
      <alignment horizontal="center" vertical="center"/>
    </xf>
    <xf numFmtId="0" fontId="42" fillId="0" borderId="0" xfId="8" applyFont="1" applyAlignment="1">
      <alignment vertical="center"/>
    </xf>
    <xf numFmtId="0" fontId="11" fillId="0" borderId="0" xfId="0" applyFont="1" applyAlignment="1">
      <alignment horizontal="center" vertical="center"/>
    </xf>
    <xf numFmtId="176" fontId="11" fillId="0" borderId="0" xfId="0" applyNumberFormat="1" applyFont="1" applyAlignment="1">
      <alignment horizontal="center" vertical="center" wrapText="1"/>
    </xf>
    <xf numFmtId="0" fontId="37" fillId="0" borderId="0" xfId="9" applyAlignment="1">
      <alignment vertical="center"/>
    </xf>
    <xf numFmtId="0" fontId="44" fillId="0" borderId="0" xfId="9" applyFont="1" applyAlignment="1">
      <alignment horizontal="center" vertical="center"/>
    </xf>
    <xf numFmtId="176" fontId="5" fillId="0" borderId="0" xfId="0" applyNumberFormat="1" applyFont="1" applyAlignment="1">
      <alignment horizontal="center" vertical="center" wrapText="1"/>
    </xf>
    <xf numFmtId="176" fontId="45" fillId="0" borderId="0" xfId="9" applyNumberFormat="1" applyFont="1" applyAlignment="1">
      <alignment horizontal="center" vertical="center" wrapText="1"/>
    </xf>
    <xf numFmtId="0" fontId="32" fillId="0" borderId="0" xfId="10" applyAlignment="1">
      <alignment horizontal="center" vertical="center"/>
    </xf>
    <xf numFmtId="10" fontId="81" fillId="0" borderId="0" xfId="10" applyNumberFormat="1" applyFont="1" applyAlignment="1">
      <alignment horizontal="center" vertical="center"/>
    </xf>
    <xf numFmtId="0" fontId="81" fillId="0" borderId="0" xfId="10" applyFont="1" applyAlignment="1">
      <alignment horizontal="center" vertical="center"/>
    </xf>
    <xf numFmtId="0" fontId="87" fillId="0" borderId="0" xfId="10" applyFont="1" applyAlignment="1">
      <alignment horizontal="center" vertical="center"/>
    </xf>
    <xf numFmtId="9" fontId="32" fillId="0" borderId="0" xfId="10" applyNumberFormat="1" applyAlignment="1">
      <alignment horizontal="center" vertical="center"/>
    </xf>
    <xf numFmtId="0" fontId="82" fillId="0" borderId="0" xfId="10" applyFont="1" applyAlignment="1">
      <alignment horizontal="center" vertical="center" wrapText="1"/>
    </xf>
    <xf numFmtId="0" fontId="82" fillId="0" borderId="0" xfId="10" applyFont="1" applyAlignment="1">
      <alignment horizontal="center" vertical="center"/>
    </xf>
    <xf numFmtId="0" fontId="32" fillId="0" borderId="0" xfId="10" applyFont="1" applyAlignment="1">
      <alignment horizontal="center" vertical="center"/>
    </xf>
    <xf numFmtId="0" fontId="80" fillId="0" borderId="0" xfId="10" applyFont="1" applyAlignment="1">
      <alignment horizontal="center" vertical="center"/>
    </xf>
    <xf numFmtId="0" fontId="85" fillId="0" borderId="0" xfId="10" applyFont="1" applyAlignment="1">
      <alignment horizontal="center" vertical="center"/>
    </xf>
    <xf numFmtId="0" fontId="89" fillId="0" borderId="0" xfId="10" applyFont="1" applyAlignment="1">
      <alignment horizontal="center" vertical="center"/>
    </xf>
    <xf numFmtId="0" fontId="0" fillId="0" borderId="16" xfId="0" applyFill="1" applyBorder="1" applyAlignment="1">
      <alignment horizontal="center" vertical="center"/>
    </xf>
    <xf numFmtId="0" fontId="32" fillId="0" borderId="0" xfId="10" applyAlignment="1">
      <alignment horizontal="left" vertical="center"/>
    </xf>
    <xf numFmtId="0" fontId="80" fillId="0" borderId="0" xfId="9" applyFont="1" applyAlignment="1"/>
    <xf numFmtId="0" fontId="37" fillId="0" borderId="0" xfId="9" applyAlignment="1"/>
    <xf numFmtId="0" fontId="32" fillId="0" borderId="0" xfId="10" applyAlignment="1">
      <alignment vertical="center"/>
    </xf>
    <xf numFmtId="10" fontId="81" fillId="0" borderId="0" xfId="10" applyNumberFormat="1" applyFont="1" applyAlignment="1">
      <alignment vertical="center"/>
    </xf>
    <xf numFmtId="0" fontId="82" fillId="0" borderId="0" xfId="10" applyFont="1" applyAlignment="1">
      <alignment vertical="center"/>
    </xf>
    <xf numFmtId="0" fontId="29" fillId="0" borderId="0" xfId="8" applyFont="1" applyAlignment="1">
      <alignment vertical="center"/>
    </xf>
    <xf numFmtId="179" fontId="30" fillId="0" borderId="0" xfId="8" applyNumberFormat="1" applyFont="1" applyAlignment="1">
      <alignment vertical="center"/>
    </xf>
    <xf numFmtId="9" fontId="30" fillId="0" borderId="0" xfId="8" applyNumberFormat="1" applyFont="1" applyAlignment="1">
      <alignment vertical="center"/>
    </xf>
    <xf numFmtId="0" fontId="1" fillId="0" borderId="0" xfId="8" applyAlignment="1">
      <alignment vertical="center"/>
    </xf>
    <xf numFmtId="176" fontId="36" fillId="0" borderId="0" xfId="0" applyNumberFormat="1" applyFont="1" applyAlignment="1">
      <alignment horizontal="center" vertical="center" wrapText="1"/>
    </xf>
    <xf numFmtId="0" fontId="80" fillId="0" borderId="0" xfId="5" applyFont="1" applyAlignment="1">
      <alignment vertical="center"/>
    </xf>
    <xf numFmtId="0" fontId="79" fillId="0" borderId="0" xfId="0" applyFont="1"/>
    <xf numFmtId="0" fontId="42" fillId="0" borderId="0" xfId="0" applyFont="1" applyAlignment="1">
      <alignment horizontal="left" vertical="center"/>
    </xf>
    <xf numFmtId="0" fontId="67" fillId="0" borderId="0" xfId="0" applyFont="1" applyAlignment="1">
      <alignment horizontal="left" vertical="center"/>
    </xf>
    <xf numFmtId="10" fontId="30" fillId="0" borderId="0" xfId="0" applyNumberFormat="1" applyFont="1" applyAlignment="1">
      <alignment horizontal="left" vertical="center"/>
    </xf>
    <xf numFmtId="9" fontId="42" fillId="0" borderId="0" xfId="0" applyNumberFormat="1" applyFont="1" applyAlignment="1">
      <alignment horizontal="left" vertical="center"/>
    </xf>
    <xf numFmtId="9" fontId="30" fillId="0" borderId="0" xfId="0" applyNumberFormat="1" applyFont="1" applyAlignment="1">
      <alignment horizontal="left" vertical="center"/>
    </xf>
    <xf numFmtId="0" fontId="30" fillId="0" borderId="0" xfId="0" applyFont="1" applyAlignment="1">
      <alignment horizontal="left" vertical="center"/>
    </xf>
    <xf numFmtId="0" fontId="46" fillId="7" borderId="6" xfId="6" applyBorder="1" applyAlignment="1">
      <alignment horizontal="center"/>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2" fillId="0" borderId="10" xfId="0" applyFont="1" applyBorder="1" applyAlignment="1">
      <alignment horizontal="center" vertical="center" wrapText="1"/>
    </xf>
    <xf numFmtId="0" fontId="42" fillId="0" borderId="5" xfId="0" applyFont="1" applyBorder="1" applyAlignment="1">
      <alignment horizontal="center" vertical="center" wrapText="1"/>
    </xf>
    <xf numFmtId="0" fontId="42" fillId="0" borderId="13" xfId="0" applyFont="1" applyBorder="1" applyAlignment="1">
      <alignment horizontal="center" vertical="center" wrapText="1"/>
    </xf>
    <xf numFmtId="0" fontId="42" fillId="0" borderId="11" xfId="0" applyFont="1" applyBorder="1" applyAlignment="1">
      <alignment horizontal="center" vertical="center" wrapText="1"/>
    </xf>
  </cellXfs>
  <cellStyles count="11">
    <cellStyle name="Normal 3" xfId="5"/>
    <cellStyle name="常规" xfId="0" builtinId="0"/>
    <cellStyle name="常规 2" xfId="1"/>
    <cellStyle name="常规 2 2" xfId="2"/>
    <cellStyle name="常规 2 3" xfId="3"/>
    <cellStyle name="常规 2 4" xfId="9"/>
    <cellStyle name="常规 3" xfId="4"/>
    <cellStyle name="常规 4" xfId="7"/>
    <cellStyle name="常规 5" xfId="8"/>
    <cellStyle name="常规 6" xfId="10"/>
    <cellStyle name="着色 6" xfId="6" builtinId="49"/>
  </cellStyles>
  <dxfs count="1">
    <dxf>
      <font>
        <color rgb="FF9C0006"/>
      </font>
      <fill>
        <patternFill>
          <bgColor rgb="FFFFC7CE"/>
        </patternFill>
      </fill>
    </dxf>
  </dxfs>
  <tableStyles count="0" defaultTableStyle="TableStyleMedium2" defaultPivotStyle="PivotStyleLight16"/>
  <colors>
    <mruColors>
      <color rgb="FFFF9FFF"/>
      <color rgb="FFE0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0</xdr:row>
          <xdr:rowOff>0</xdr:rowOff>
        </xdr:from>
        <xdr:to>
          <xdr:col>3</xdr:col>
          <xdr:colOff>22860</xdr:colOff>
          <xdr:row>3</xdr:row>
          <xdr:rowOff>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1 数据材料设备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68580</xdr:rowOff>
        </xdr:from>
        <xdr:to>
          <xdr:col>3</xdr:col>
          <xdr:colOff>0</xdr:colOff>
          <xdr:row>17</xdr:row>
          <xdr:rowOff>60960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7620</xdr:rowOff>
        </xdr:from>
        <xdr:to>
          <xdr:col>3</xdr:col>
          <xdr:colOff>7620</xdr:colOff>
          <xdr:row>6</xdr:row>
          <xdr:rowOff>22860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2 废气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30480</xdr:rowOff>
        </xdr:from>
        <xdr:to>
          <xdr:col>3</xdr:col>
          <xdr:colOff>7620</xdr:colOff>
          <xdr:row>9</xdr:row>
          <xdr:rowOff>38100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3 生成word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16</xdr:row>
          <xdr:rowOff>22860</xdr:rowOff>
        </xdr:from>
        <xdr:to>
          <xdr:col>5</xdr:col>
          <xdr:colOff>1524000</xdr:colOff>
          <xdr:row>20</xdr:row>
          <xdr:rowOff>30480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生成工艺图PPT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9</xdr:row>
          <xdr:rowOff>160020</xdr:rowOff>
        </xdr:from>
        <xdr:to>
          <xdr:col>2</xdr:col>
          <xdr:colOff>1623060</xdr:colOff>
          <xdr:row>12</xdr:row>
          <xdr:rowOff>152400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粘贴附件</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xdr:colOff>
          <xdr:row>2</xdr:row>
          <xdr:rowOff>99060</xdr:rowOff>
        </xdr:from>
        <xdr:to>
          <xdr:col>7</xdr:col>
          <xdr:colOff>335280</xdr:colOff>
          <xdr:row>4</xdr:row>
          <xdr:rowOff>106680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200-000003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重置产品</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2</xdr:row>
          <xdr:rowOff>99060</xdr:rowOff>
        </xdr:from>
        <xdr:to>
          <xdr:col>7</xdr:col>
          <xdr:colOff>251460</xdr:colOff>
          <xdr:row>4</xdr:row>
          <xdr:rowOff>106680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300-000003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重置材料</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388620</xdr:colOff>
          <xdr:row>5</xdr:row>
          <xdr:rowOff>83820</xdr:rowOff>
        </xdr:from>
        <xdr:to>
          <xdr:col>7</xdr:col>
          <xdr:colOff>30480</xdr:colOff>
          <xdr:row>7</xdr:row>
          <xdr:rowOff>99060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400-000002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重置设备</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xdr:colOff>
          <xdr:row>15</xdr:row>
          <xdr:rowOff>38100</xdr:rowOff>
        </xdr:from>
        <xdr:to>
          <xdr:col>8</xdr:col>
          <xdr:colOff>365760</xdr:colOff>
          <xdr:row>17</xdr:row>
          <xdr:rowOff>152400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0500-000001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确认输出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182880</xdr:colOff>
          <xdr:row>18</xdr:row>
          <xdr:rowOff>121920</xdr:rowOff>
        </xdr:from>
        <xdr:to>
          <xdr:col>8</xdr:col>
          <xdr:colOff>182880</xdr:colOff>
          <xdr:row>20</xdr:row>
          <xdr:rowOff>137160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0500-000002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重置附件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7</xdr:row>
          <xdr:rowOff>22860</xdr:rowOff>
        </xdr:from>
        <xdr:to>
          <xdr:col>8</xdr:col>
          <xdr:colOff>350520</xdr:colOff>
          <xdr:row>9</xdr:row>
          <xdr:rowOff>60960</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0500-000003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阿南附件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83820</xdr:rowOff>
        </xdr:from>
        <xdr:to>
          <xdr:col>8</xdr:col>
          <xdr:colOff>335280</xdr:colOff>
          <xdr:row>6</xdr:row>
          <xdr:rowOff>144780</xdr:rowOff>
        </xdr:to>
        <xdr:sp macro="" textlink="">
          <xdr:nvSpPr>
            <xdr:cNvPr id="96260" name="Button 4" hidden="1">
              <a:extLst>
                <a:ext uri="{63B3BB69-23CF-44E3-9099-C40C66FF867C}">
                  <a14:compatExt spid="_x0000_s96260"/>
                </a:ext>
                <a:ext uri="{FF2B5EF4-FFF2-40B4-BE49-F238E27FC236}">
                  <a16:creationId xmlns:a16="http://schemas.microsoft.com/office/drawing/2014/main" id="{00000000-0008-0000-0500-000004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默认附件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9</xdr:row>
          <xdr:rowOff>22860</xdr:rowOff>
        </xdr:from>
        <xdr:to>
          <xdr:col>8</xdr:col>
          <xdr:colOff>350520</xdr:colOff>
          <xdr:row>11</xdr:row>
          <xdr:rowOff>60960</xdr:rowOff>
        </xdr:to>
        <xdr:sp macro="" textlink="">
          <xdr:nvSpPr>
            <xdr:cNvPr id="96261" name="Button 6" hidden="1">
              <a:extLst>
                <a:ext uri="{63B3BB69-23CF-44E3-9099-C40C66FF867C}">
                  <a14:compatExt spid="_x0000_s96261"/>
                </a:ext>
                <a:ext uri="{FF2B5EF4-FFF2-40B4-BE49-F238E27FC236}">
                  <a16:creationId xmlns:a16="http://schemas.microsoft.com/office/drawing/2014/main" id="{00000000-0008-0000-0500-000005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环科所附件</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0</xdr:rowOff>
        </xdr:from>
        <xdr:to>
          <xdr:col>3</xdr:col>
          <xdr:colOff>335280</xdr:colOff>
          <xdr:row>3</xdr:row>
          <xdr:rowOff>160020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600-000001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废气匹配搜索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0</xdr:row>
          <xdr:rowOff>0</xdr:rowOff>
        </xdr:from>
        <xdr:to>
          <xdr:col>5</xdr:col>
          <xdr:colOff>373380</xdr:colOff>
          <xdr:row>3</xdr:row>
          <xdr:rowOff>7620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600-000002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重置</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426720</xdr:colOff>
          <xdr:row>0</xdr:row>
          <xdr:rowOff>0</xdr:rowOff>
        </xdr:from>
        <xdr:to>
          <xdr:col>4</xdr:col>
          <xdr:colOff>1684020</xdr:colOff>
          <xdr:row>3</xdr:row>
          <xdr:rowOff>38100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700-0000010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废固匹配搜索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0</xdr:rowOff>
        </xdr:from>
        <xdr:to>
          <xdr:col>5</xdr:col>
          <xdr:colOff>1508760</xdr:colOff>
          <xdr:row>3</xdr:row>
          <xdr:rowOff>7620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700-0000020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重置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56"/>
  <sheetViews>
    <sheetView workbookViewId="0">
      <selection activeCell="B49" sqref="B49"/>
    </sheetView>
  </sheetViews>
  <sheetFormatPr defaultColWidth="8.88671875" defaultRowHeight="13.8" x14ac:dyDescent="0.25"/>
  <cols>
    <col min="1" max="1" width="38.33203125" style="1" customWidth="1"/>
    <col min="2" max="2" width="32.44140625" style="52" customWidth="1"/>
    <col min="3" max="3" width="22.21875" bestFit="1" customWidth="1"/>
    <col min="5" max="5" width="3.44140625" customWidth="1"/>
    <col min="6" max="6" width="20.109375" customWidth="1"/>
    <col min="7" max="7" width="17.77734375" customWidth="1"/>
  </cols>
  <sheetData>
    <row r="1" spans="1:7" ht="14.4" thickBot="1" x14ac:dyDescent="0.3">
      <c r="A1" s="101" t="s">
        <v>366</v>
      </c>
      <c r="B1" s="53"/>
      <c r="E1" s="181" t="s">
        <v>175</v>
      </c>
      <c r="F1" s="181"/>
      <c r="G1" s="181"/>
    </row>
    <row r="2" spans="1:7" ht="13.5" customHeight="1" thickBot="1" x14ac:dyDescent="0.3">
      <c r="A2" s="48" t="s">
        <v>106</v>
      </c>
      <c r="B2" s="49"/>
      <c r="E2" s="63" t="s">
        <v>167</v>
      </c>
      <c r="F2" s="63" t="s">
        <v>168</v>
      </c>
      <c r="G2" s="63" t="s">
        <v>176</v>
      </c>
    </row>
    <row r="3" spans="1:7" ht="15" thickTop="1" thickBot="1" x14ac:dyDescent="0.3">
      <c r="A3" s="48" t="s">
        <v>107</v>
      </c>
      <c r="B3" s="49"/>
      <c r="E3" s="64">
        <v>1</v>
      </c>
      <c r="F3" s="64" t="s">
        <v>316</v>
      </c>
      <c r="G3" s="64" t="s">
        <v>317</v>
      </c>
    </row>
    <row r="4" spans="1:7" ht="14.4" thickBot="1" x14ac:dyDescent="0.3">
      <c r="A4" s="48" t="s">
        <v>108</v>
      </c>
      <c r="B4" s="50"/>
      <c r="E4" s="65">
        <v>2</v>
      </c>
      <c r="F4" s="65" t="s">
        <v>170</v>
      </c>
      <c r="G4" s="65" t="s">
        <v>318</v>
      </c>
    </row>
    <row r="5" spans="1:7" ht="14.4" thickBot="1" x14ac:dyDescent="0.3">
      <c r="A5" s="48" t="s">
        <v>109</v>
      </c>
      <c r="B5" s="77"/>
      <c r="E5" s="65">
        <v>3</v>
      </c>
      <c r="F5" s="65" t="s">
        <v>171</v>
      </c>
      <c r="G5" s="65" t="s">
        <v>317</v>
      </c>
    </row>
    <row r="6" spans="1:7" ht="13.5" customHeight="1" thickBot="1" x14ac:dyDescent="0.3">
      <c r="A6" s="48" t="s">
        <v>110</v>
      </c>
      <c r="B6" s="49"/>
      <c r="E6" s="65">
        <v>4</v>
      </c>
      <c r="F6" s="65" t="s">
        <v>172</v>
      </c>
      <c r="G6" s="65" t="s">
        <v>317</v>
      </c>
    </row>
    <row r="7" spans="1:7" ht="14.4" thickBot="1" x14ac:dyDescent="0.3">
      <c r="A7" s="48" t="s">
        <v>111</v>
      </c>
      <c r="B7" s="49"/>
      <c r="E7" s="65">
        <v>5</v>
      </c>
      <c r="F7" s="65" t="s">
        <v>173</v>
      </c>
      <c r="G7" s="65" t="s">
        <v>318</v>
      </c>
    </row>
    <row r="8" spans="1:7" ht="13.5" customHeight="1" thickBot="1" x14ac:dyDescent="0.3">
      <c r="A8" s="48" t="s">
        <v>112</v>
      </c>
      <c r="B8" s="49"/>
      <c r="E8" s="65">
        <v>6</v>
      </c>
      <c r="F8" s="65" t="s">
        <v>319</v>
      </c>
      <c r="G8" s="65" t="s">
        <v>317</v>
      </c>
    </row>
    <row r="9" spans="1:7" ht="14.4" thickBot="1" x14ac:dyDescent="0.3">
      <c r="A9" s="48" t="s">
        <v>113</v>
      </c>
      <c r="B9" s="49"/>
      <c r="E9" s="65">
        <v>7</v>
      </c>
      <c r="F9" s="65" t="s">
        <v>174</v>
      </c>
      <c r="G9" s="65" t="s">
        <v>169</v>
      </c>
    </row>
    <row r="10" spans="1:7" x14ac:dyDescent="0.25">
      <c r="A10" s="48" t="s">
        <v>114</v>
      </c>
      <c r="B10" s="50"/>
    </row>
    <row r="11" spans="1:7" x14ac:dyDescent="0.25">
      <c r="A11" s="48" t="s">
        <v>115</v>
      </c>
      <c r="B11" s="49"/>
    </row>
    <row r="12" spans="1:7" x14ac:dyDescent="0.25">
      <c r="A12" s="48" t="s">
        <v>116</v>
      </c>
      <c r="B12" s="49"/>
    </row>
    <row r="13" spans="1:7" x14ac:dyDescent="0.25">
      <c r="A13" s="48" t="s">
        <v>117</v>
      </c>
      <c r="B13" s="76"/>
    </row>
    <row r="14" spans="1:7" ht="15" thickBot="1" x14ac:dyDescent="0.3">
      <c r="A14" s="48" t="s">
        <v>118</v>
      </c>
      <c r="B14" s="49"/>
    </row>
    <row r="15" spans="1:7" ht="15" thickBot="1" x14ac:dyDescent="0.3">
      <c r="A15" s="48" t="s">
        <v>119</v>
      </c>
      <c r="B15" s="49"/>
      <c r="F15" s="73" t="s">
        <v>295</v>
      </c>
      <c r="G15" s="73" t="s">
        <v>296</v>
      </c>
    </row>
    <row r="16" spans="1:7" ht="14.4" thickBot="1" x14ac:dyDescent="0.3">
      <c r="A16" s="48" t="s">
        <v>120</v>
      </c>
      <c r="B16" s="62"/>
      <c r="F16" s="74" t="s">
        <v>315</v>
      </c>
      <c r="G16" s="74">
        <f>IFERROR(VLOOKUP(F16,工艺流程表!A:B,2,0),"")</f>
        <v>10</v>
      </c>
    </row>
    <row r="17" spans="1:6" x14ac:dyDescent="0.25">
      <c r="A17" s="48" t="s">
        <v>121</v>
      </c>
      <c r="B17" s="62"/>
    </row>
    <row r="18" spans="1:6" x14ac:dyDescent="0.25">
      <c r="A18" s="48" t="s">
        <v>166</v>
      </c>
      <c r="B18" s="62">
        <f>B16+B17</f>
        <v>0</v>
      </c>
    </row>
    <row r="19" spans="1:6" x14ac:dyDescent="0.25">
      <c r="A19" s="48" t="s">
        <v>122</v>
      </c>
      <c r="B19" s="49"/>
    </row>
    <row r="20" spans="1:6" x14ac:dyDescent="0.25">
      <c r="A20" s="48" t="s">
        <v>123</v>
      </c>
      <c r="B20" s="49"/>
      <c r="C20" s="66" t="s">
        <v>177</v>
      </c>
    </row>
    <row r="21" spans="1:6" x14ac:dyDescent="0.25">
      <c r="A21" s="48" t="s">
        <v>124</v>
      </c>
      <c r="B21" s="49"/>
      <c r="C21" s="67" t="s">
        <v>178</v>
      </c>
    </row>
    <row r="22" spans="1:6" x14ac:dyDescent="0.25">
      <c r="A22" s="48" t="s">
        <v>125</v>
      </c>
      <c r="B22" s="49"/>
      <c r="C22" s="68"/>
    </row>
    <row r="23" spans="1:6" x14ac:dyDescent="0.25">
      <c r="A23" s="84" t="s">
        <v>343</v>
      </c>
      <c r="B23" s="85"/>
      <c r="C23" s="66" t="s">
        <v>179</v>
      </c>
    </row>
    <row r="24" spans="1:6" x14ac:dyDescent="0.25">
      <c r="A24" s="48" t="s">
        <v>126</v>
      </c>
      <c r="B24" s="49"/>
    </row>
    <row r="25" spans="1:6" x14ac:dyDescent="0.25">
      <c r="A25" s="48" t="s">
        <v>127</v>
      </c>
      <c r="B25" s="49"/>
    </row>
    <row r="26" spans="1:6" x14ac:dyDescent="0.25">
      <c r="A26" s="33" t="s">
        <v>31</v>
      </c>
      <c r="B26" s="4"/>
    </row>
    <row r="27" spans="1:6" x14ac:dyDescent="0.25">
      <c r="A27" s="32" t="s">
        <v>29</v>
      </c>
      <c r="B27" s="51"/>
    </row>
    <row r="28" spans="1:6" x14ac:dyDescent="0.25">
      <c r="A28" s="48" t="s">
        <v>128</v>
      </c>
      <c r="B28" s="49"/>
    </row>
    <row r="29" spans="1:6" x14ac:dyDescent="0.25">
      <c r="A29" s="48" t="s">
        <v>129</v>
      </c>
      <c r="B29" s="49"/>
    </row>
    <row r="30" spans="1:6" x14ac:dyDescent="0.25">
      <c r="A30" s="48" t="s">
        <v>130</v>
      </c>
      <c r="B30" s="49"/>
    </row>
    <row r="31" spans="1:6" x14ac:dyDescent="0.25">
      <c r="A31" s="48" t="s">
        <v>131</v>
      </c>
      <c r="B31" s="49"/>
      <c r="F31" t="s">
        <v>79</v>
      </c>
    </row>
    <row r="32" spans="1:6" x14ac:dyDescent="0.25">
      <c r="A32" s="48" t="s">
        <v>132</v>
      </c>
      <c r="B32" s="49"/>
    </row>
    <row r="33" spans="1:2" ht="14.4" thickBot="1" x14ac:dyDescent="0.3">
      <c r="A33" s="48" t="s">
        <v>133</v>
      </c>
      <c r="B33" s="49"/>
    </row>
    <row r="34" spans="1:2" ht="14.4" thickBot="1" x14ac:dyDescent="0.3">
      <c r="A34" s="48" t="s">
        <v>134</v>
      </c>
      <c r="B34" s="58"/>
    </row>
    <row r="35" spans="1:2" ht="14.4" thickBot="1" x14ac:dyDescent="0.3">
      <c r="A35" s="48" t="s">
        <v>140</v>
      </c>
      <c r="B35" s="53"/>
    </row>
    <row r="36" spans="1:2" ht="14.4" thickBot="1" x14ac:dyDescent="0.3">
      <c r="A36" s="48" t="s">
        <v>135</v>
      </c>
      <c r="B36" s="59"/>
    </row>
    <row r="37" spans="1:2" x14ac:dyDescent="0.25">
      <c r="A37" s="48" t="s">
        <v>136</v>
      </c>
      <c r="B37" s="60" t="str">
        <f>IFERROR(VLOOKUP(B36,地下水区域!$B:$D,2,0),"")</f>
        <v/>
      </c>
    </row>
    <row r="38" spans="1:2" x14ac:dyDescent="0.25">
      <c r="A38" s="48" t="s">
        <v>141</v>
      </c>
      <c r="B38" s="60" t="str">
        <f>IFERROR(VLOOKUP(B36,地下水区域!$B:$D,3,0),"")</f>
        <v/>
      </c>
    </row>
    <row r="39" spans="1:2" ht="14.4" thickBot="1" x14ac:dyDescent="0.3">
      <c r="A39" s="48" t="s">
        <v>137</v>
      </c>
      <c r="B39" s="60" t="str">
        <f>IFERROR(VLOOKUP(B36,地下水区域!$B:$E,4,0),"")</f>
        <v/>
      </c>
    </row>
    <row r="40" spans="1:2" ht="14.4" thickBot="1" x14ac:dyDescent="0.3">
      <c r="A40" s="48" t="s">
        <v>138</v>
      </c>
      <c r="B40" s="54"/>
    </row>
    <row r="41" spans="1:2" ht="14.4" thickBot="1" x14ac:dyDescent="0.3">
      <c r="A41" s="48" t="s">
        <v>142</v>
      </c>
      <c r="B41" s="57"/>
    </row>
    <row r="42" spans="1:2" x14ac:dyDescent="0.25">
      <c r="A42" s="48" t="s">
        <v>143</v>
      </c>
      <c r="B42" s="56" t="str">
        <f>IFERROR(VLOOKUP(B41,污水排放!$A$1:$B$2,2,0),"")</f>
        <v/>
      </c>
    </row>
    <row r="43" spans="1:2" x14ac:dyDescent="0.25">
      <c r="A43" s="48" t="s">
        <v>144</v>
      </c>
      <c r="B43" s="56" t="str">
        <f>IFERROR(VLOOKUP(B41,污水排放!$A$1:$C$2,3,0),"")</f>
        <v/>
      </c>
    </row>
    <row r="44" spans="1:2" x14ac:dyDescent="0.25">
      <c r="A44" s="48" t="s">
        <v>145</v>
      </c>
      <c r="B44" s="55" t="str">
        <f>IFERROR(VLOOKUP(B41&amp;B34&amp;B40,地表水区域!A2:F11,5,0),"内河涌")</f>
        <v>内河涌</v>
      </c>
    </row>
    <row r="45" spans="1:2" x14ac:dyDescent="0.25">
      <c r="A45" s="48" t="s">
        <v>146</v>
      </c>
      <c r="B45" s="61" t="str">
        <f>IFERROR(VLOOKUP(B41&amp;B34&amp;B40,地表水区域!A2:F11,6,0),"Ⅳ类")</f>
        <v>Ⅳ类</v>
      </c>
    </row>
    <row r="46" spans="1:2" x14ac:dyDescent="0.25">
      <c r="A46" s="48" t="s">
        <v>310</v>
      </c>
      <c r="B46" s="61" t="str">
        <f>IFERROR(VLOOKUP(B41&amp;B34&amp;B40,地表水区域!A2:G11,7,0),"景观、农用功能")</f>
        <v>景观、农用功能</v>
      </c>
    </row>
    <row r="47" spans="1:2" x14ac:dyDescent="0.25">
      <c r="A47" s="48" t="s">
        <v>139</v>
      </c>
      <c r="B47" s="56" t="str">
        <f>IFERROR(VLOOKUP(B41,污水排放!$A$1:$D$2,4,0),"")</f>
        <v/>
      </c>
    </row>
    <row r="48" spans="1:2" x14ac:dyDescent="0.25">
      <c r="A48" s="107" t="s">
        <v>359</v>
      </c>
      <c r="B48" s="100"/>
    </row>
    <row r="49" spans="1:2" x14ac:dyDescent="0.25">
      <c r="A49" s="107" t="s">
        <v>360</v>
      </c>
      <c r="B49" s="100"/>
    </row>
    <row r="50" spans="1:2" x14ac:dyDescent="0.25">
      <c r="A50" s="102" t="s">
        <v>367</v>
      </c>
      <c r="B50" s="100"/>
    </row>
    <row r="51" spans="1:2" x14ac:dyDescent="0.25">
      <c r="A51" s="105" t="s">
        <v>361</v>
      </c>
    </row>
    <row r="52" spans="1:2" x14ac:dyDescent="0.25">
      <c r="A52" s="106" t="s">
        <v>362</v>
      </c>
    </row>
    <row r="53" spans="1:2" x14ac:dyDescent="0.25">
      <c r="A53" s="106" t="s">
        <v>368</v>
      </c>
    </row>
    <row r="54" spans="1:2" x14ac:dyDescent="0.25">
      <c r="A54" s="103" t="s">
        <v>363</v>
      </c>
    </row>
    <row r="55" spans="1:2" x14ac:dyDescent="0.25">
      <c r="A55" s="104" t="s">
        <v>364</v>
      </c>
    </row>
    <row r="56" spans="1:2" x14ac:dyDescent="0.25">
      <c r="A56" s="104" t="s">
        <v>365</v>
      </c>
    </row>
  </sheetData>
  <mergeCells count="1">
    <mergeCell ref="E1:G1"/>
  </mergeCells>
  <phoneticPr fontId="7" type="noConversion"/>
  <dataValidations count="4">
    <dataValidation type="list" showInputMessage="1" showErrorMessage="1" sqref="B40">
      <formula1>"无,逢沙,大门"</formula1>
    </dataValidation>
    <dataValidation type="list" allowBlank="1" showInputMessage="1" showErrorMessage="1" sqref="B41">
      <formula1>"是,否"</formula1>
    </dataValidation>
    <dataValidation type="list" allowBlank="1" showInputMessage="1" showErrorMessage="1" sqref="B48">
      <formula1>"≤50,≤100,＞100"</formula1>
    </dataValidation>
    <dataValidation type="list" allowBlank="1" showInputMessage="1" showErrorMessage="1" sqref="B49">
      <formula1>"＜0,≤500,＞500"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表格生成">
                <anchor moveWithCells="1" sizeWithCells="1">
                  <from>
                    <xdr:col>2</xdr:col>
                    <xdr:colOff>7620</xdr:colOff>
                    <xdr:row>0</xdr:row>
                    <xdr:rowOff>0</xdr:rowOff>
                  </from>
                  <to>
                    <xdr:col>3</xdr:col>
                    <xdr:colOff>22860</xdr:colOff>
                    <xdr:row>3</xdr:row>
                    <xdr:rowOff>0</xdr:rowOff>
                  </to>
                </anchor>
              </controlPr>
            </control>
          </mc:Choice>
        </mc:AlternateContent>
        <mc:AlternateContent xmlns:mc="http://schemas.openxmlformats.org/markup-compatibility/2006">
          <mc:Choice Requires="x14">
            <control shapeId="1052" r:id="rId5" name="Button 28">
              <controlPr defaultSize="0" print="0" autoFill="0" autoPict="0" macro="[0]!重置">
                <anchor moveWithCells="1" sizeWithCells="1">
                  <from>
                    <xdr:col>2</xdr:col>
                    <xdr:colOff>0</xdr:colOff>
                    <xdr:row>13</xdr:row>
                    <xdr:rowOff>68580</xdr:rowOff>
                  </from>
                  <to>
                    <xdr:col>3</xdr:col>
                    <xdr:colOff>0</xdr:colOff>
                    <xdr:row>17</xdr:row>
                    <xdr:rowOff>60960</xdr:rowOff>
                  </to>
                </anchor>
              </controlPr>
            </control>
          </mc:Choice>
        </mc:AlternateContent>
        <mc:AlternateContent xmlns:mc="http://schemas.openxmlformats.org/markup-compatibility/2006">
          <mc:Choice Requires="x14">
            <control shapeId="1053" r:id="rId6" name="Button 29">
              <controlPr defaultSize="0" print="0" autoFill="0" autoPict="0" macro="[0]!查询废气">
                <anchor moveWithCells="1" sizeWithCells="1">
                  <from>
                    <xdr:col>2</xdr:col>
                    <xdr:colOff>0</xdr:colOff>
                    <xdr:row>3</xdr:row>
                    <xdr:rowOff>7620</xdr:rowOff>
                  </from>
                  <to>
                    <xdr:col>3</xdr:col>
                    <xdr:colOff>7620</xdr:colOff>
                    <xdr:row>6</xdr:row>
                    <xdr:rowOff>22860</xdr:rowOff>
                  </to>
                </anchor>
              </controlPr>
            </control>
          </mc:Choice>
        </mc:AlternateContent>
        <mc:AlternateContent xmlns:mc="http://schemas.openxmlformats.org/markup-compatibility/2006">
          <mc:Choice Requires="x14">
            <control shapeId="1054" r:id="rId7" name="Button 30">
              <controlPr defaultSize="0" print="0" autoFill="0" autoPict="0" macro="[0]!生成word">
                <anchor moveWithCells="1" sizeWithCells="1">
                  <from>
                    <xdr:col>2</xdr:col>
                    <xdr:colOff>0</xdr:colOff>
                    <xdr:row>6</xdr:row>
                    <xdr:rowOff>30480</xdr:rowOff>
                  </from>
                  <to>
                    <xdr:col>3</xdr:col>
                    <xdr:colOff>7620</xdr:colOff>
                    <xdr:row>9</xdr:row>
                    <xdr:rowOff>38100</xdr:rowOff>
                  </to>
                </anchor>
              </controlPr>
            </control>
          </mc:Choice>
        </mc:AlternateContent>
        <mc:AlternateContent xmlns:mc="http://schemas.openxmlformats.org/markup-compatibility/2006">
          <mc:Choice Requires="x14">
            <control shapeId="1056" r:id="rId8" name="Button 32">
              <controlPr defaultSize="0" print="0" autoFill="0" autoPict="0" macro="[0]!生成工艺图">
                <anchor moveWithCells="1" sizeWithCells="1">
                  <from>
                    <xdr:col>5</xdr:col>
                    <xdr:colOff>7620</xdr:colOff>
                    <xdr:row>16</xdr:row>
                    <xdr:rowOff>22860</xdr:rowOff>
                  </from>
                  <to>
                    <xdr:col>5</xdr:col>
                    <xdr:colOff>1524000</xdr:colOff>
                    <xdr:row>20</xdr:row>
                    <xdr:rowOff>30480</xdr:rowOff>
                  </to>
                </anchor>
              </controlPr>
            </control>
          </mc:Choice>
        </mc:AlternateContent>
        <mc:AlternateContent xmlns:mc="http://schemas.openxmlformats.org/markup-compatibility/2006">
          <mc:Choice Requires="x14">
            <control shapeId="1060" r:id="rId9" name="Button 36">
              <controlPr defaultSize="0" print="0" autoFill="0" autoPict="0" macro="[0]!粘贴附件">
                <anchor moveWithCells="1" sizeWithCells="1">
                  <from>
                    <xdr:col>2</xdr:col>
                    <xdr:colOff>99060</xdr:colOff>
                    <xdr:row>9</xdr:row>
                    <xdr:rowOff>160020</xdr:rowOff>
                  </from>
                  <to>
                    <xdr:col>2</xdr:col>
                    <xdr:colOff>1623060</xdr:colOff>
                    <xdr:row>12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声环境!$B$1:$G$1</xm:f>
          </x14:formula1>
          <xm:sqref>B35</xm:sqref>
        </x14:dataValidation>
        <x14:dataValidation type="list" allowBlank="1" showInputMessage="1" showErrorMessage="1">
          <x14:formula1>
            <xm:f>地下水区域!$B:$B</xm:f>
          </x14:formula1>
          <xm:sqref>B36</xm:sqref>
        </x14:dataValidation>
        <x14:dataValidation type="list" allowBlank="1" showInputMessage="1" showErrorMessage="1">
          <x14:formula1>
            <xm:f>行业类别及代码!$A:$A</xm:f>
          </x14:formula1>
          <xm:sqref>B1</xm:sqref>
        </x14:dataValidation>
        <x14:dataValidation type="list" allowBlank="1" showInputMessage="1" showErrorMessage="1">
          <x14:formula1>
            <xm:f>工艺流程表!$A:$A</xm:f>
          </x14:formula1>
          <xm:sqref>F16</xm:sqref>
        </x14:dataValidation>
        <x14:dataValidation type="list" allowBlank="1" showInputMessage="1" showErrorMessage="1">
          <x14:formula1>
            <xm:f>社会情况!$A:$A</xm:f>
          </x14:formula1>
          <xm:sqref>B34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0"/>
  <sheetViews>
    <sheetView workbookViewId="0">
      <selection activeCell="C7" sqref="C7"/>
    </sheetView>
  </sheetViews>
  <sheetFormatPr defaultRowHeight="13.8" x14ac:dyDescent="0.25"/>
  <sheetData>
    <row r="1" spans="1:10" ht="29.4" thickBot="1" x14ac:dyDescent="0.3">
      <c r="A1" s="95" t="s">
        <v>345</v>
      </c>
      <c r="B1" s="96" t="s">
        <v>346</v>
      </c>
      <c r="C1" s="96" t="s">
        <v>347</v>
      </c>
      <c r="D1" s="96" t="s">
        <v>348</v>
      </c>
      <c r="E1" s="96" t="s">
        <v>349</v>
      </c>
    </row>
    <row r="2" spans="1:10" ht="101.4" thickBot="1" x14ac:dyDescent="0.3">
      <c r="A2" s="185" t="s">
        <v>350</v>
      </c>
      <c r="B2" s="86" t="s">
        <v>155</v>
      </c>
      <c r="C2" s="86"/>
      <c r="D2" s="97"/>
      <c r="E2" s="86" t="str">
        <f>"《地表水环境质量标准》（GB3838-2002）中的"&amp;信息!B45&amp;"标准；"</f>
        <v>《地表水环境质量标准》（GB3838-2002）中的Ⅳ类标准；</v>
      </c>
    </row>
    <row r="3" spans="1:10" ht="14.4" thickBot="1" x14ac:dyDescent="0.3">
      <c r="A3" s="186"/>
      <c r="B3" s="97"/>
      <c r="C3" s="97"/>
      <c r="D3" s="97"/>
      <c r="E3" s="97"/>
      <c r="J3" t="s">
        <v>605</v>
      </c>
    </row>
    <row r="4" spans="1:10" ht="14.4" thickBot="1" x14ac:dyDescent="0.3">
      <c r="A4" s="187"/>
      <c r="B4" s="97"/>
      <c r="C4" s="97"/>
      <c r="D4" s="97"/>
      <c r="E4" s="97"/>
    </row>
    <row r="5" spans="1:10" ht="101.4" thickBot="1" x14ac:dyDescent="0.3">
      <c r="A5" s="182" t="s">
        <v>352</v>
      </c>
      <c r="B5" s="184"/>
      <c r="C5" s="97" t="s">
        <v>351</v>
      </c>
      <c r="D5" s="97" t="s">
        <v>353</v>
      </c>
      <c r="E5" s="86" t="s">
        <v>358</v>
      </c>
    </row>
    <row r="6" spans="1:10" ht="101.4" thickBot="1" x14ac:dyDescent="0.3">
      <c r="A6" s="182" t="s">
        <v>354</v>
      </c>
      <c r="B6" s="184"/>
      <c r="C6" s="97" t="s">
        <v>351</v>
      </c>
      <c r="D6" s="97" t="s">
        <v>353</v>
      </c>
      <c r="E6" s="86" t="str">
        <f>"《声环境质量标准》（GB3096-2008）中的"&amp;信息!B35&amp;"标准；"</f>
        <v>《声环境质量标准》（GB3096-2008）中的标准；</v>
      </c>
    </row>
    <row r="7" spans="1:10" ht="60" customHeight="1" thickBot="1" x14ac:dyDescent="0.3">
      <c r="A7" s="182"/>
      <c r="B7" s="184"/>
      <c r="C7" s="97"/>
      <c r="D7" s="97"/>
      <c r="E7" s="99" t="s">
        <v>355</v>
      </c>
      <c r="J7" t="s">
        <v>603</v>
      </c>
    </row>
    <row r="8" spans="1:10" ht="60" customHeight="1" thickBot="1" x14ac:dyDescent="0.3">
      <c r="A8" s="97"/>
      <c r="B8" s="97"/>
      <c r="C8" s="97"/>
      <c r="D8" s="97"/>
      <c r="E8" s="99" t="s">
        <v>355</v>
      </c>
    </row>
    <row r="9" spans="1:10" ht="60" customHeight="1" thickBot="1" x14ac:dyDescent="0.3">
      <c r="A9" s="97"/>
      <c r="B9" s="97"/>
      <c r="C9" s="97"/>
      <c r="D9" s="97"/>
      <c r="E9" s="99" t="s">
        <v>355</v>
      </c>
      <c r="J9" t="s">
        <v>604</v>
      </c>
    </row>
    <row r="10" spans="1:10" ht="15" customHeight="1" thickBot="1" x14ac:dyDescent="0.3">
      <c r="A10" s="98" t="s">
        <v>356</v>
      </c>
      <c r="B10" s="182" t="s">
        <v>357</v>
      </c>
      <c r="C10" s="183"/>
      <c r="D10" s="183"/>
      <c r="E10" s="184"/>
    </row>
  </sheetData>
  <mergeCells count="5">
    <mergeCell ref="B10:E10"/>
    <mergeCell ref="A2:A4"/>
    <mergeCell ref="A5:B5"/>
    <mergeCell ref="A6:B6"/>
    <mergeCell ref="A7:B7"/>
  </mergeCells>
  <phoneticPr fontId="6"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1"/>
  <sheetViews>
    <sheetView workbookViewId="0">
      <selection activeCell="C4" sqref="C4"/>
    </sheetView>
  </sheetViews>
  <sheetFormatPr defaultRowHeight="13.8" x14ac:dyDescent="0.25"/>
  <sheetData>
    <row r="1" spans="1:4" x14ac:dyDescent="0.25">
      <c r="A1" s="87" t="s">
        <v>344</v>
      </c>
      <c r="B1" s="87" t="s">
        <v>81</v>
      </c>
      <c r="C1" s="87" t="s">
        <v>82</v>
      </c>
      <c r="D1" s="161" t="s">
        <v>582</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5" r:id="rId3" name="Button 3">
              <controlPr defaultSize="0" print="0" autoFill="0" autoPict="0" macro="[0]!重置产品">
                <anchor moveWithCells="1" sizeWithCells="1">
                  <from>
                    <xdr:col>6</xdr:col>
                    <xdr:colOff>30480</xdr:colOff>
                    <xdr:row>2</xdr:row>
                    <xdr:rowOff>99060</xdr:rowOff>
                  </from>
                  <to>
                    <xdr:col>7</xdr:col>
                    <xdr:colOff>335280</xdr:colOff>
                    <xdr:row>4</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12"/>
  <sheetViews>
    <sheetView workbookViewId="0">
      <selection activeCell="D5" sqref="D5"/>
    </sheetView>
  </sheetViews>
  <sheetFormatPr defaultColWidth="8.88671875" defaultRowHeight="13.8" x14ac:dyDescent="0.25"/>
  <cols>
    <col min="1" max="1" width="9" style="1" bestFit="1" customWidth="1"/>
    <col min="2" max="2" width="5.44140625" style="1" bestFit="1" customWidth="1"/>
    <col min="3" max="3" width="12" style="1" customWidth="1"/>
    <col min="4" max="4" width="11" bestFit="1" customWidth="1"/>
    <col min="8" max="8" width="22.44140625" bestFit="1" customWidth="1"/>
  </cols>
  <sheetData>
    <row r="1" spans="1:8" x14ac:dyDescent="0.25">
      <c r="A1" s="87" t="s">
        <v>80</v>
      </c>
      <c r="B1" s="87" t="s">
        <v>81</v>
      </c>
      <c r="C1" s="87" t="s">
        <v>82</v>
      </c>
      <c r="D1" s="87" t="s">
        <v>83</v>
      </c>
      <c r="E1" s="87" t="s">
        <v>84</v>
      </c>
    </row>
    <row r="2" spans="1:8" ht="14.4" x14ac:dyDescent="0.25">
      <c r="A2" s="88"/>
      <c r="B2" s="89"/>
      <c r="C2" s="89"/>
      <c r="D2" s="90"/>
      <c r="E2" s="90"/>
      <c r="H2" s="34"/>
    </row>
    <row r="3" spans="1:8" ht="14.4" x14ac:dyDescent="0.25">
      <c r="A3" s="88"/>
      <c r="B3" s="89"/>
      <c r="C3" s="89"/>
      <c r="D3" s="90"/>
      <c r="E3" s="90"/>
    </row>
    <row r="4" spans="1:8" x14ac:dyDescent="0.25">
      <c r="A4" s="31"/>
      <c r="B4" s="144"/>
      <c r="C4" s="145"/>
      <c r="D4" s="43"/>
      <c r="E4" s="43"/>
    </row>
    <row r="5" spans="1:8" x14ac:dyDescent="0.25">
      <c r="A5" s="144"/>
      <c r="B5" s="144"/>
      <c r="C5" s="145"/>
      <c r="D5" s="43"/>
      <c r="E5" s="43"/>
    </row>
    <row r="6" spans="1:8" x14ac:dyDescent="0.25">
      <c r="A6" s="31"/>
      <c r="B6" s="144"/>
      <c r="C6" s="145"/>
      <c r="D6" s="43"/>
      <c r="E6" s="43"/>
    </row>
    <row r="7" spans="1:8" x14ac:dyDescent="0.25">
      <c r="A7" s="146"/>
      <c r="B7" s="146"/>
      <c r="C7" s="145"/>
      <c r="D7" s="43"/>
      <c r="E7" s="43"/>
    </row>
    <row r="8" spans="1:8" x14ac:dyDescent="0.25">
      <c r="A8" s="146"/>
      <c r="B8" s="146"/>
      <c r="C8" s="145"/>
      <c r="D8" s="43"/>
      <c r="E8" s="43"/>
    </row>
    <row r="9" spans="1:8" x14ac:dyDescent="0.25">
      <c r="B9" s="144"/>
      <c r="C9" s="145"/>
      <c r="D9" s="43"/>
      <c r="E9" s="43"/>
    </row>
    <row r="10" spans="1:8" x14ac:dyDescent="0.25">
      <c r="A10" s="150"/>
      <c r="B10" s="146"/>
      <c r="C10" s="145"/>
      <c r="D10" s="43"/>
      <c r="E10" s="43"/>
    </row>
    <row r="11" spans="1:8" x14ac:dyDescent="0.25">
      <c r="A11" s="150"/>
      <c r="B11" s="146"/>
      <c r="C11" s="145"/>
      <c r="D11" s="43"/>
      <c r="E11" s="43"/>
    </row>
    <row r="12" spans="1:8" x14ac:dyDescent="0.25">
      <c r="A12" s="152"/>
      <c r="B12" s="144"/>
      <c r="C12" s="145"/>
      <c r="D12" s="43"/>
      <c r="E12" s="43"/>
    </row>
  </sheetData>
  <phoneticPr fontId="7" type="noConversion"/>
  <dataValidations count="1">
    <dataValidation type="list" allowBlank="1" showInputMessage="1" showErrorMessage="1" sqref="D12 D9 D2:D6">
      <formula1>"是,否"</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9" r:id="rId4" name="Button 3">
              <controlPr defaultSize="0" print="0" autoFill="0" autoPict="0" macro="[0]!重置材料">
                <anchor moveWithCells="1" sizeWithCells="1">
                  <from>
                    <xdr:col>5</xdr:col>
                    <xdr:colOff>609600</xdr:colOff>
                    <xdr:row>2</xdr:row>
                    <xdr:rowOff>99060</xdr:rowOff>
                  </from>
                  <to>
                    <xdr:col>7</xdr:col>
                    <xdr:colOff>251460</xdr:colOff>
                    <xdr:row>4</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22"/>
  <sheetViews>
    <sheetView workbookViewId="0">
      <selection activeCell="A2" sqref="A2:D7"/>
    </sheetView>
  </sheetViews>
  <sheetFormatPr defaultColWidth="8.88671875" defaultRowHeight="13.8" x14ac:dyDescent="0.25"/>
  <cols>
    <col min="1" max="1" width="9" style="1" bestFit="1" customWidth="1"/>
    <col min="2" max="3" width="8.88671875" style="1"/>
  </cols>
  <sheetData>
    <row r="1" spans="1:6" x14ac:dyDescent="0.25">
      <c r="A1" s="87" t="s">
        <v>85</v>
      </c>
      <c r="B1" s="87" t="s">
        <v>86</v>
      </c>
      <c r="C1" s="87" t="s">
        <v>87</v>
      </c>
      <c r="D1" s="87" t="s">
        <v>88</v>
      </c>
    </row>
    <row r="2" spans="1:6" ht="14.4" x14ac:dyDescent="0.25">
      <c r="A2" s="91"/>
      <c r="B2" s="92"/>
      <c r="C2" s="93"/>
      <c r="D2" s="94"/>
      <c r="F2" s="34"/>
    </row>
    <row r="3" spans="1:6" ht="14.4" x14ac:dyDescent="0.25">
      <c r="A3" s="88"/>
      <c r="B3" s="92"/>
      <c r="C3" s="93"/>
      <c r="D3" s="93"/>
    </row>
    <row r="4" spans="1:6" ht="14.4" x14ac:dyDescent="0.25">
      <c r="A4" s="88"/>
      <c r="B4" s="92"/>
      <c r="C4" s="93"/>
      <c r="D4" s="93"/>
    </row>
    <row r="5" spans="1:6" ht="14.4" x14ac:dyDescent="0.25">
      <c r="A5" s="88"/>
      <c r="B5" s="92"/>
      <c r="C5" s="93"/>
      <c r="D5" s="93"/>
    </row>
    <row r="6" spans="1:6" ht="14.4" x14ac:dyDescent="0.25">
      <c r="A6" s="152"/>
      <c r="B6" s="149"/>
      <c r="C6" s="148"/>
      <c r="D6" s="147"/>
    </row>
    <row r="7" spans="1:6" ht="14.4" x14ac:dyDescent="0.25">
      <c r="A7" s="148"/>
      <c r="B7" s="145"/>
      <c r="C7" s="172"/>
      <c r="D7" s="147"/>
    </row>
    <row r="8" spans="1:6" ht="14.4" x14ac:dyDescent="0.25">
      <c r="A8" s="148"/>
      <c r="B8" s="145"/>
      <c r="C8" s="145"/>
      <c r="D8" s="147"/>
    </row>
    <row r="9" spans="1:6" ht="14.4" x14ac:dyDescent="0.25">
      <c r="A9" s="148"/>
      <c r="B9" s="145"/>
      <c r="C9" s="145"/>
      <c r="D9" s="147"/>
    </row>
    <row r="10" spans="1:6" ht="14.4" x14ac:dyDescent="0.25">
      <c r="A10" s="148"/>
      <c r="B10" s="145"/>
      <c r="C10" s="145"/>
      <c r="D10" s="147"/>
    </row>
    <row r="11" spans="1:6" ht="14.4" x14ac:dyDescent="0.25">
      <c r="A11" s="147"/>
      <c r="B11" s="149"/>
      <c r="C11" s="145"/>
      <c r="D11" s="147"/>
    </row>
    <row r="12" spans="1:6" ht="14.4" x14ac:dyDescent="0.25">
      <c r="A12" s="147"/>
      <c r="B12" s="149"/>
      <c r="C12" s="145"/>
      <c r="D12" s="147"/>
    </row>
    <row r="13" spans="1:6" ht="14.4" x14ac:dyDescent="0.25">
      <c r="A13" s="152"/>
      <c r="B13" s="145"/>
      <c r="C13" s="145"/>
      <c r="D13" s="44"/>
    </row>
    <row r="14" spans="1:6" ht="14.4" x14ac:dyDescent="0.25">
      <c r="A14" s="150"/>
      <c r="B14" s="149"/>
      <c r="C14" s="145"/>
      <c r="D14" s="44"/>
    </row>
    <row r="15" spans="1:6" ht="14.4" x14ac:dyDescent="0.25">
      <c r="D15" s="44"/>
    </row>
    <row r="16" spans="1:6" ht="14.4" x14ac:dyDescent="0.25">
      <c r="A16" s="44"/>
      <c r="B16" s="45"/>
      <c r="C16" s="44"/>
      <c r="D16" s="44"/>
    </row>
    <row r="17" spans="1:4" ht="14.4" x14ac:dyDescent="0.25">
      <c r="A17" s="44"/>
      <c r="B17" s="45"/>
      <c r="C17" s="44"/>
      <c r="D17" s="44"/>
    </row>
    <row r="18" spans="1:4" ht="14.4" x14ac:dyDescent="0.25">
      <c r="A18" s="44"/>
      <c r="B18" s="45"/>
      <c r="C18" s="44"/>
      <c r="D18" s="44"/>
    </row>
    <row r="19" spans="1:4" ht="14.4" x14ac:dyDescent="0.25">
      <c r="A19" s="44"/>
      <c r="B19" s="45"/>
      <c r="C19" s="44"/>
      <c r="D19" s="44"/>
    </row>
    <row r="20" spans="1:4" ht="14.4" x14ac:dyDescent="0.25">
      <c r="A20" s="44"/>
      <c r="B20" s="45"/>
      <c r="C20" s="44"/>
      <c r="D20" s="44"/>
    </row>
    <row r="21" spans="1:4" ht="14.4" x14ac:dyDescent="0.25">
      <c r="A21" s="44"/>
      <c r="B21" s="45"/>
      <c r="C21" s="44"/>
      <c r="D21" s="44"/>
    </row>
    <row r="22" spans="1:4" ht="14.4" x14ac:dyDescent="0.25">
      <c r="A22" s="44"/>
      <c r="B22" s="45"/>
      <c r="C22" s="44"/>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2" r:id="rId4" name="Button 2">
              <controlPr defaultSize="0" print="0" autoFill="0" autoPict="0" macro="[0]!重置设备">
                <anchor moveWithCells="1" sizeWithCells="1">
                  <from>
                    <xdr:col>5</xdr:col>
                    <xdr:colOff>388620</xdr:colOff>
                    <xdr:row>5</xdr:row>
                    <xdr:rowOff>83820</xdr:rowOff>
                  </from>
                  <to>
                    <xdr:col>7</xdr:col>
                    <xdr:colOff>30480</xdr:colOff>
                    <xdr:row>7</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N14"/>
  <sheetViews>
    <sheetView workbookViewId="0">
      <selection activeCell="I23" sqref="I23"/>
    </sheetView>
  </sheetViews>
  <sheetFormatPr defaultRowHeight="13.8" x14ac:dyDescent="0.25"/>
  <cols>
    <col min="8" max="8" width="13" bestFit="1" customWidth="1"/>
    <col min="12" max="12" width="27.44140625" customWidth="1"/>
  </cols>
  <sheetData>
    <row r="1" spans="1:14" x14ac:dyDescent="0.25">
      <c r="A1">
        <v>1</v>
      </c>
      <c r="B1" t="s">
        <v>74</v>
      </c>
      <c r="G1" t="s">
        <v>602</v>
      </c>
      <c r="H1" t="s">
        <v>77</v>
      </c>
      <c r="I1">
        <f>COUNT(A:A)</f>
        <v>14</v>
      </c>
    </row>
    <row r="2" spans="1:14" x14ac:dyDescent="0.25">
      <c r="A2">
        <v>2</v>
      </c>
      <c r="B2" t="s">
        <v>75</v>
      </c>
      <c r="G2" t="s">
        <v>602</v>
      </c>
      <c r="H2" t="s">
        <v>78</v>
      </c>
      <c r="I2">
        <f>COUNTIF(G:G,"有")</f>
        <v>6</v>
      </c>
    </row>
    <row r="3" spans="1:14" x14ac:dyDescent="0.25">
      <c r="A3">
        <v>3</v>
      </c>
      <c r="B3" t="s">
        <v>76</v>
      </c>
      <c r="G3" t="s">
        <v>602</v>
      </c>
    </row>
    <row r="4" spans="1:14" x14ac:dyDescent="0.25">
      <c r="A4">
        <v>4</v>
      </c>
      <c r="B4" t="s">
        <v>587</v>
      </c>
      <c r="G4" t="s">
        <v>602</v>
      </c>
      <c r="H4" s="30" t="s">
        <v>588</v>
      </c>
    </row>
    <row r="5" spans="1:14" x14ac:dyDescent="0.25">
      <c r="A5">
        <v>5</v>
      </c>
      <c r="B5" t="s">
        <v>589</v>
      </c>
      <c r="G5" t="s">
        <v>602</v>
      </c>
      <c r="L5" s="78" t="s">
        <v>590</v>
      </c>
      <c r="M5" s="79" t="s">
        <v>333</v>
      </c>
      <c r="N5" s="80">
        <v>18929909196</v>
      </c>
    </row>
    <row r="6" spans="1:14" ht="24" x14ac:dyDescent="0.25">
      <c r="A6">
        <v>6</v>
      </c>
      <c r="B6" t="s">
        <v>89</v>
      </c>
      <c r="G6" t="s">
        <v>602</v>
      </c>
      <c r="L6" s="78" t="s">
        <v>342</v>
      </c>
      <c r="M6" s="79" t="s">
        <v>334</v>
      </c>
      <c r="N6" s="80">
        <v>410007</v>
      </c>
    </row>
    <row r="7" spans="1:14" x14ac:dyDescent="0.25">
      <c r="A7">
        <v>7</v>
      </c>
      <c r="B7" t="s">
        <v>591</v>
      </c>
      <c r="G7" t="s">
        <v>601</v>
      </c>
      <c r="L7" s="79" t="s">
        <v>592</v>
      </c>
      <c r="M7" s="79" t="s">
        <v>335</v>
      </c>
      <c r="N7" s="81" t="s">
        <v>336</v>
      </c>
    </row>
    <row r="8" spans="1:14" x14ac:dyDescent="0.25">
      <c r="A8">
        <v>8</v>
      </c>
      <c r="B8" t="s">
        <v>593</v>
      </c>
      <c r="G8" t="s">
        <v>601</v>
      </c>
    </row>
    <row r="9" spans="1:14" x14ac:dyDescent="0.25">
      <c r="A9">
        <v>9</v>
      </c>
      <c r="B9" t="s">
        <v>594</v>
      </c>
      <c r="G9" t="s">
        <v>601</v>
      </c>
      <c r="L9" s="82" t="s">
        <v>595</v>
      </c>
      <c r="M9" s="83" t="s">
        <v>333</v>
      </c>
      <c r="N9" s="83" t="s">
        <v>337</v>
      </c>
    </row>
    <row r="10" spans="1:14" x14ac:dyDescent="0.25">
      <c r="A10">
        <v>10</v>
      </c>
      <c r="B10" t="s">
        <v>596</v>
      </c>
      <c r="G10" t="s">
        <v>601</v>
      </c>
      <c r="L10" s="83" t="s">
        <v>338</v>
      </c>
      <c r="M10" s="83" t="s">
        <v>334</v>
      </c>
      <c r="N10" s="83">
        <v>610064</v>
      </c>
    </row>
    <row r="11" spans="1:14" x14ac:dyDescent="0.25">
      <c r="A11">
        <v>11</v>
      </c>
      <c r="B11" t="s">
        <v>597</v>
      </c>
      <c r="G11" t="s">
        <v>601</v>
      </c>
      <c r="L11" s="83" t="s">
        <v>339</v>
      </c>
      <c r="M11" s="83" t="s">
        <v>340</v>
      </c>
      <c r="N11" s="83" t="s">
        <v>341</v>
      </c>
    </row>
    <row r="12" spans="1:14" x14ac:dyDescent="0.25">
      <c r="A12">
        <v>12</v>
      </c>
      <c r="B12" t="s">
        <v>598</v>
      </c>
      <c r="G12" t="s">
        <v>601</v>
      </c>
    </row>
    <row r="13" spans="1:14" x14ac:dyDescent="0.25">
      <c r="A13">
        <v>13</v>
      </c>
      <c r="B13" t="s">
        <v>599</v>
      </c>
      <c r="G13" t="s">
        <v>601</v>
      </c>
    </row>
    <row r="14" spans="1:14" x14ac:dyDescent="0.25">
      <c r="A14">
        <v>14</v>
      </c>
      <c r="B14" s="69" t="s">
        <v>600</v>
      </c>
      <c r="G14" t="s">
        <v>601</v>
      </c>
    </row>
  </sheetData>
  <phoneticPr fontId="6" type="noConversion"/>
  <dataValidations count="1">
    <dataValidation type="list" allowBlank="1" showInputMessage="1" showErrorMessage="1" sqref="G1:G14">
      <formula1>"有,无"</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备案附件">
                <anchor moveWithCells="1" sizeWithCells="1">
                  <from>
                    <xdr:col>7</xdr:col>
                    <xdr:colOff>7620</xdr:colOff>
                    <xdr:row>15</xdr:row>
                    <xdr:rowOff>38100</xdr:rowOff>
                  </from>
                  <to>
                    <xdr:col>8</xdr:col>
                    <xdr:colOff>365760</xdr:colOff>
                    <xdr:row>17</xdr:row>
                    <xdr:rowOff>152400</xdr:rowOff>
                  </to>
                </anchor>
              </controlPr>
            </control>
          </mc:Choice>
        </mc:AlternateContent>
        <mc:AlternateContent xmlns:mc="http://schemas.openxmlformats.org/markup-compatibility/2006">
          <mc:Choice Requires="x14">
            <control shapeId="96258" r:id="rId5" name="Button 2">
              <controlPr defaultSize="0" print="0" autoFill="0" autoPict="0" macro="[0]!重置附件">
                <anchor moveWithCells="1" sizeWithCells="1">
                  <from>
                    <xdr:col>7</xdr:col>
                    <xdr:colOff>182880</xdr:colOff>
                    <xdr:row>18</xdr:row>
                    <xdr:rowOff>121920</xdr:rowOff>
                  </from>
                  <to>
                    <xdr:col>8</xdr:col>
                    <xdr:colOff>182880</xdr:colOff>
                    <xdr:row>20</xdr:row>
                    <xdr:rowOff>137160</xdr:rowOff>
                  </to>
                </anchor>
              </controlPr>
            </control>
          </mc:Choice>
        </mc:AlternateContent>
        <mc:AlternateContent xmlns:mc="http://schemas.openxmlformats.org/markup-compatibility/2006">
          <mc:Choice Requires="x14">
            <control shapeId="96259" r:id="rId6" name="Button 3">
              <controlPr defaultSize="0" print="0" autoFill="0" autoPict="0" macro="[0]!阿南附件">
                <anchor moveWithCells="1" sizeWithCells="1">
                  <from>
                    <xdr:col>7</xdr:col>
                    <xdr:colOff>22860</xdr:colOff>
                    <xdr:row>7</xdr:row>
                    <xdr:rowOff>22860</xdr:rowOff>
                  </from>
                  <to>
                    <xdr:col>8</xdr:col>
                    <xdr:colOff>350520</xdr:colOff>
                    <xdr:row>9</xdr:row>
                    <xdr:rowOff>60960</xdr:rowOff>
                  </to>
                </anchor>
              </controlPr>
            </control>
          </mc:Choice>
        </mc:AlternateContent>
        <mc:AlternateContent xmlns:mc="http://schemas.openxmlformats.org/markup-compatibility/2006">
          <mc:Choice Requires="x14">
            <control shapeId="96260" r:id="rId7" name="Button 4">
              <controlPr defaultSize="0" print="0" autoFill="0" autoPict="0" macro="[0]!默认附件">
                <anchor moveWithCells="1" sizeWithCells="1">
                  <from>
                    <xdr:col>7</xdr:col>
                    <xdr:colOff>0</xdr:colOff>
                    <xdr:row>4</xdr:row>
                    <xdr:rowOff>83820</xdr:rowOff>
                  </from>
                  <to>
                    <xdr:col>8</xdr:col>
                    <xdr:colOff>335280</xdr:colOff>
                    <xdr:row>6</xdr:row>
                    <xdr:rowOff>144780</xdr:rowOff>
                  </to>
                </anchor>
              </controlPr>
            </control>
          </mc:Choice>
        </mc:AlternateContent>
        <mc:AlternateContent xmlns:mc="http://schemas.openxmlformats.org/markup-compatibility/2006">
          <mc:Choice Requires="x14">
            <control shapeId="96261" r:id="rId8" name="Button 6">
              <controlPr defaultSize="0" print="0" autoFill="0" autoPict="0" macro="[0]!环科所附件">
                <anchor moveWithCells="1" sizeWithCells="1">
                  <from>
                    <xdr:col>7</xdr:col>
                    <xdr:colOff>22860</xdr:colOff>
                    <xdr:row>9</xdr:row>
                    <xdr:rowOff>22860</xdr:rowOff>
                  </from>
                  <to>
                    <xdr:col>8</xdr:col>
                    <xdr:colOff>350520</xdr:colOff>
                    <xdr:row>11</xdr:row>
                    <xdr:rowOff>60960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16"/>
  <sheetViews>
    <sheetView workbookViewId="0">
      <selection activeCell="F16" sqref="F16"/>
    </sheetView>
  </sheetViews>
  <sheetFormatPr defaultColWidth="9" defaultRowHeight="13.8" x14ac:dyDescent="0.25"/>
  <cols>
    <col min="1" max="1" width="14.109375" style="140" bestFit="1" customWidth="1"/>
    <col min="2" max="2" width="10.21875" style="140" bestFit="1" customWidth="1"/>
    <col min="3" max="3" width="15.109375" style="140" bestFit="1" customWidth="1"/>
    <col min="4" max="4" width="15.109375" style="140" customWidth="1"/>
    <col min="5" max="5" width="14.6640625" style="140" customWidth="1"/>
    <col min="6" max="6" width="22.21875" style="140" customWidth="1"/>
    <col min="7" max="7" width="20" style="140" bestFit="1" customWidth="1"/>
    <col min="8" max="8" width="26.77734375" style="140" bestFit="1" customWidth="1"/>
    <col min="9" max="9" width="8.44140625" style="140" bestFit="1" customWidth="1"/>
    <col min="10" max="10" width="10.21875" style="140" bestFit="1" customWidth="1"/>
    <col min="11" max="11" width="18" style="140" bestFit="1" customWidth="1"/>
    <col min="12" max="12" width="8.44140625" style="140" bestFit="1" customWidth="1"/>
    <col min="13" max="16384" width="9" style="140"/>
  </cols>
  <sheetData>
    <row r="1" spans="1:14" x14ac:dyDescent="0.25">
      <c r="A1" s="139"/>
      <c r="B1" s="139"/>
      <c r="C1" s="139"/>
      <c r="D1" s="139"/>
      <c r="E1" s="139"/>
      <c r="F1" s="139"/>
      <c r="G1" s="139"/>
      <c r="H1" s="139"/>
      <c r="I1" s="139"/>
      <c r="K1" s="173" t="s">
        <v>586</v>
      </c>
      <c r="L1" s="139">
        <f>COUNTA(H:H)-1</f>
        <v>0</v>
      </c>
      <c r="M1" s="139"/>
      <c r="N1" s="139"/>
    </row>
    <row r="2" spans="1:14" x14ac:dyDescent="0.25">
      <c r="A2" s="141"/>
      <c r="B2" s="141"/>
      <c r="C2" s="141"/>
      <c r="D2" s="141"/>
      <c r="E2" s="141"/>
      <c r="F2" s="141"/>
      <c r="G2" s="141"/>
      <c r="H2" s="141"/>
      <c r="I2" s="141"/>
      <c r="J2" s="141"/>
      <c r="K2" s="141"/>
      <c r="L2" s="141"/>
      <c r="M2" s="141"/>
      <c r="N2" s="141"/>
    </row>
    <row r="3" spans="1:14" x14ac:dyDescent="0.25">
      <c r="A3" s="141"/>
      <c r="B3" s="141"/>
      <c r="C3" s="141"/>
      <c r="D3" s="141"/>
      <c r="E3" s="141"/>
      <c r="F3" s="141"/>
      <c r="G3" s="141"/>
      <c r="H3" s="141"/>
      <c r="I3" s="141"/>
      <c r="J3" s="141"/>
      <c r="K3" s="141"/>
      <c r="L3" s="141"/>
      <c r="M3" s="141"/>
      <c r="N3" s="141"/>
    </row>
    <row r="4" spans="1:14" x14ac:dyDescent="0.25">
      <c r="A4" s="141"/>
      <c r="B4" s="141"/>
      <c r="C4" s="141"/>
      <c r="D4" s="141"/>
      <c r="E4" s="141"/>
      <c r="F4" s="141"/>
      <c r="G4" s="141"/>
      <c r="H4" s="141"/>
      <c r="I4" s="141"/>
      <c r="J4" s="141"/>
      <c r="K4" s="141"/>
      <c r="L4" s="141"/>
      <c r="M4" s="141"/>
      <c r="N4" s="141"/>
    </row>
    <row r="5" spans="1:14" x14ac:dyDescent="0.25">
      <c r="A5" s="141"/>
      <c r="B5" s="141"/>
      <c r="C5" s="141"/>
      <c r="D5" s="141"/>
      <c r="E5" s="141"/>
      <c r="F5" s="141"/>
      <c r="G5" s="141"/>
      <c r="H5" s="141"/>
      <c r="I5" s="141"/>
      <c r="J5" s="141"/>
      <c r="K5" s="141"/>
      <c r="L5" s="141"/>
      <c r="M5" s="141"/>
      <c r="N5" s="141"/>
    </row>
    <row r="6" spans="1:14" x14ac:dyDescent="0.25">
      <c r="A6" s="141"/>
      <c r="B6" s="141"/>
      <c r="C6" s="141"/>
      <c r="D6" s="141"/>
      <c r="E6" s="141"/>
      <c r="F6" s="141"/>
      <c r="G6" s="141"/>
      <c r="H6" s="141"/>
      <c r="I6" s="141"/>
      <c r="J6" s="141"/>
      <c r="K6" s="141"/>
      <c r="L6" s="141"/>
      <c r="M6" s="141"/>
      <c r="N6" s="141"/>
    </row>
    <row r="7" spans="1:14" s="114" customFormat="1" ht="14.4" customHeight="1" x14ac:dyDescent="0.25">
      <c r="A7" s="114" t="s">
        <v>615</v>
      </c>
      <c r="B7" s="114" t="s">
        <v>541</v>
      </c>
      <c r="C7" s="142" t="s">
        <v>542</v>
      </c>
      <c r="D7" s="142" t="s">
        <v>550</v>
      </c>
      <c r="E7" s="114" t="s">
        <v>376</v>
      </c>
      <c r="F7" s="114" t="s">
        <v>543</v>
      </c>
      <c r="G7" s="114" t="s">
        <v>544</v>
      </c>
      <c r="H7" s="114" t="s">
        <v>545</v>
      </c>
      <c r="I7" s="114" t="s">
        <v>546</v>
      </c>
      <c r="J7" s="114" t="s">
        <v>547</v>
      </c>
      <c r="K7" s="114" t="s">
        <v>548</v>
      </c>
      <c r="L7" s="114" t="s">
        <v>549</v>
      </c>
      <c r="M7" s="114" t="s">
        <v>616</v>
      </c>
      <c r="N7" s="114" t="s">
        <v>617</v>
      </c>
    </row>
    <row r="8" spans="1:14" s="121" customFormat="1" ht="14.4" customHeight="1" x14ac:dyDescent="0.25"/>
    <row r="9" spans="1:14" x14ac:dyDescent="0.25">
      <c r="A9"/>
      <c r="B9"/>
      <c r="C9"/>
      <c r="D9"/>
      <c r="E9"/>
      <c r="F9"/>
      <c r="G9"/>
      <c r="H9"/>
      <c r="I9"/>
      <c r="J9"/>
      <c r="K9"/>
      <c r="L9"/>
      <c r="M9"/>
      <c r="N9"/>
    </row>
    <row r="10" spans="1:14" x14ac:dyDescent="0.25">
      <c r="A10"/>
      <c r="B10"/>
      <c r="C10"/>
      <c r="D10"/>
      <c r="E10"/>
      <c r="F10"/>
      <c r="G10"/>
      <c r="H10"/>
      <c r="I10"/>
      <c r="J10"/>
      <c r="K10"/>
      <c r="L10"/>
      <c r="M10"/>
      <c r="N10"/>
    </row>
    <row r="11" spans="1:14" x14ac:dyDescent="0.25">
      <c r="A11"/>
      <c r="B11"/>
      <c r="C11"/>
      <c r="D11"/>
      <c r="E11"/>
      <c r="F11"/>
      <c r="G11"/>
      <c r="H11"/>
      <c r="I11"/>
      <c r="J11"/>
      <c r="K11"/>
      <c r="L11"/>
      <c r="M11"/>
      <c r="N11"/>
    </row>
    <row r="12" spans="1:14" ht="16.5" customHeight="1" x14ac:dyDescent="0.25">
      <c r="A12"/>
      <c r="B12"/>
      <c r="C12"/>
      <c r="D12"/>
      <c r="E12"/>
      <c r="F12"/>
      <c r="G12"/>
      <c r="H12"/>
      <c r="I12"/>
      <c r="J12"/>
      <c r="K12"/>
      <c r="L12"/>
      <c r="M12"/>
      <c r="N12"/>
    </row>
    <row r="13" spans="1:14" ht="16.5" customHeight="1" x14ac:dyDescent="0.25">
      <c r="A13"/>
      <c r="B13"/>
      <c r="C13"/>
      <c r="D13"/>
      <c r="E13"/>
      <c r="F13"/>
      <c r="G13"/>
      <c r="H13"/>
      <c r="I13"/>
      <c r="J13"/>
      <c r="K13"/>
      <c r="L13"/>
      <c r="M13"/>
      <c r="N13"/>
    </row>
    <row r="14" spans="1:14" ht="16.5" customHeight="1" x14ac:dyDescent="0.25">
      <c r="A14"/>
      <c r="B14"/>
      <c r="C14"/>
      <c r="D14"/>
      <c r="E14"/>
      <c r="F14"/>
      <c r="G14"/>
      <c r="H14"/>
      <c r="I14"/>
      <c r="J14"/>
      <c r="K14"/>
      <c r="L14"/>
    </row>
    <row r="15" spans="1:14" ht="16.5" customHeight="1" x14ac:dyDescent="0.25">
      <c r="A15"/>
      <c r="B15"/>
      <c r="C15"/>
      <c r="D15"/>
      <c r="E15"/>
      <c r="F15"/>
      <c r="G15"/>
      <c r="H15"/>
      <c r="I15"/>
      <c r="J15"/>
      <c r="K15"/>
      <c r="L15"/>
    </row>
    <row r="16" spans="1:14" x14ac:dyDescent="0.25">
      <c r="A16"/>
      <c r="B16"/>
      <c r="C16"/>
      <c r="D16"/>
      <c r="E16"/>
      <c r="F16"/>
      <c r="G16"/>
      <c r="H16"/>
      <c r="I16"/>
      <c r="J16"/>
      <c r="K16"/>
      <c r="L16"/>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查询废气">
                <anchor moveWithCells="1" sizeWithCells="1">
                  <from>
                    <xdr:col>0</xdr:col>
                    <xdr:colOff>38100</xdr:colOff>
                    <xdr:row>0</xdr:row>
                    <xdr:rowOff>0</xdr:rowOff>
                  </from>
                  <to>
                    <xdr:col>3</xdr:col>
                    <xdr:colOff>335280</xdr:colOff>
                    <xdr:row>3</xdr:row>
                    <xdr:rowOff>160020</xdr:rowOff>
                  </to>
                </anchor>
              </controlPr>
            </control>
          </mc:Choice>
        </mc:AlternateContent>
        <mc:AlternateContent xmlns:mc="http://schemas.openxmlformats.org/markup-compatibility/2006">
          <mc:Choice Requires="x14">
            <control shapeId="67586" r:id="rId5" name="Button 2">
              <controlPr defaultSize="0" print="0" autoFill="0" autoPict="0" macro="[0]!重置废气">
                <anchor moveWithCells="1" sizeWithCells="1">
                  <from>
                    <xdr:col>4</xdr:col>
                    <xdr:colOff>22860</xdr:colOff>
                    <xdr:row>0</xdr:row>
                    <xdr:rowOff>0</xdr:rowOff>
                  </from>
                  <to>
                    <xdr:col>5</xdr:col>
                    <xdr:colOff>373380</xdr:colOff>
                    <xdr:row>3</xdr:row>
                    <xdr:rowOff>7620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N14"/>
  <sheetViews>
    <sheetView workbookViewId="0">
      <selection activeCell="D24" sqref="D24"/>
    </sheetView>
  </sheetViews>
  <sheetFormatPr defaultColWidth="9" defaultRowHeight="13.8" x14ac:dyDescent="0.25"/>
  <cols>
    <col min="1" max="1" width="14.109375" style="140" bestFit="1" customWidth="1"/>
    <col min="2" max="2" width="10.21875" style="140" bestFit="1" customWidth="1"/>
    <col min="3" max="3" width="17.77734375" style="140" customWidth="1"/>
    <col min="4" max="4" width="23.88671875" style="140" customWidth="1"/>
    <col min="5" max="7" width="33.33203125" style="171" customWidth="1"/>
    <col min="8" max="8" width="26.77734375" style="140" bestFit="1" customWidth="1"/>
    <col min="9" max="9" width="8.44140625" style="140" bestFit="1" customWidth="1"/>
    <col min="10" max="10" width="10.21875" style="140" bestFit="1" customWidth="1"/>
    <col min="11" max="11" width="18" style="140" bestFit="1" customWidth="1"/>
    <col min="12" max="12" width="8.44140625" style="140" bestFit="1" customWidth="1"/>
    <col min="13" max="16384" width="9" style="140"/>
  </cols>
  <sheetData>
    <row r="1" spans="1:14" x14ac:dyDescent="0.25">
      <c r="A1" s="139" t="s">
        <v>540</v>
      </c>
      <c r="B1" s="139" t="s">
        <v>541</v>
      </c>
      <c r="C1" s="139"/>
      <c r="D1" s="139"/>
      <c r="E1" s="163"/>
      <c r="F1" s="163"/>
      <c r="G1" s="163"/>
      <c r="H1" s="139"/>
      <c r="I1" s="139"/>
      <c r="J1" s="139"/>
      <c r="K1" s="139"/>
      <c r="L1" s="139"/>
      <c r="M1" s="139"/>
      <c r="N1" s="139"/>
    </row>
    <row r="2" spans="1:14" x14ac:dyDescent="0.25">
      <c r="A2" s="141" t="s">
        <v>583</v>
      </c>
      <c r="B2" s="141" t="s">
        <v>584</v>
      </c>
      <c r="C2" s="141"/>
      <c r="D2" s="141"/>
      <c r="E2" s="164"/>
      <c r="F2" s="164"/>
      <c r="G2" s="164"/>
      <c r="H2" s="141"/>
      <c r="I2" s="141"/>
      <c r="J2" s="141"/>
      <c r="K2" s="141"/>
      <c r="L2" s="141"/>
      <c r="M2" s="141"/>
      <c r="N2" s="141"/>
    </row>
    <row r="3" spans="1:14" x14ac:dyDescent="0.25">
      <c r="A3" s="141"/>
      <c r="B3" s="141"/>
      <c r="C3" s="141"/>
      <c r="D3" s="141"/>
      <c r="E3" s="164"/>
      <c r="F3" s="164"/>
      <c r="G3" s="164"/>
      <c r="H3" s="141"/>
      <c r="I3" s="141"/>
      <c r="J3" s="141"/>
      <c r="K3" s="141"/>
      <c r="L3" s="141"/>
      <c r="M3" s="141"/>
      <c r="N3" s="141"/>
    </row>
    <row r="4" spans="1:14" x14ac:dyDescent="0.25">
      <c r="A4" s="141"/>
      <c r="B4" s="141"/>
      <c r="C4" s="141"/>
      <c r="D4" s="141"/>
      <c r="E4" s="164"/>
      <c r="F4" s="164"/>
      <c r="G4" s="164"/>
      <c r="H4" s="141"/>
      <c r="I4" s="141"/>
      <c r="J4" s="141"/>
      <c r="K4" s="141"/>
      <c r="L4" s="141"/>
      <c r="M4" s="141"/>
      <c r="N4" s="141"/>
    </row>
    <row r="5" spans="1:14" x14ac:dyDescent="0.25">
      <c r="A5" s="141"/>
      <c r="B5" s="141"/>
      <c r="C5" s="141"/>
      <c r="D5" s="141"/>
      <c r="E5" s="164"/>
      <c r="F5" s="164"/>
      <c r="G5" s="164"/>
      <c r="H5" s="141"/>
      <c r="I5" s="141"/>
      <c r="J5" s="141"/>
      <c r="K5" s="141"/>
      <c r="L5" s="141"/>
      <c r="M5" s="141"/>
      <c r="N5" s="141"/>
    </row>
    <row r="6" spans="1:14" x14ac:dyDescent="0.25">
      <c r="A6" s="141"/>
      <c r="B6" s="141"/>
      <c r="C6" s="141"/>
      <c r="D6" s="141"/>
      <c r="E6" s="164"/>
      <c r="F6" s="164"/>
      <c r="G6" s="164"/>
      <c r="H6" s="141"/>
      <c r="I6" s="141"/>
      <c r="J6" s="141"/>
      <c r="K6" s="141"/>
      <c r="L6" s="141"/>
      <c r="M6" s="141"/>
      <c r="N6" s="141"/>
    </row>
    <row r="7" spans="1:14" s="114" customFormat="1" ht="14.4" customHeight="1" x14ac:dyDescent="0.25">
      <c r="A7" s="150" t="s">
        <v>552</v>
      </c>
      <c r="B7" s="150" t="s">
        <v>553</v>
      </c>
      <c r="C7" s="150" t="s">
        <v>554</v>
      </c>
      <c r="D7" s="162" t="s">
        <v>555</v>
      </c>
      <c r="E7" s="165" t="s">
        <v>381</v>
      </c>
      <c r="F7" s="165" t="s">
        <v>556</v>
      </c>
      <c r="G7" s="166" t="s">
        <v>383</v>
      </c>
    </row>
    <row r="8" spans="1:14" s="121" customFormat="1" ht="14.4" customHeight="1" x14ac:dyDescent="0.25">
      <c r="A8" s="152" t="s">
        <v>409</v>
      </c>
      <c r="B8" s="152" t="s">
        <v>403</v>
      </c>
      <c r="C8" s="153" t="s">
        <v>557</v>
      </c>
      <c r="D8" s="154">
        <v>0.05</v>
      </c>
      <c r="E8" s="167" t="s">
        <v>558</v>
      </c>
      <c r="F8" s="167" t="s">
        <v>559</v>
      </c>
      <c r="G8" s="167" t="s">
        <v>560</v>
      </c>
    </row>
    <row r="9" spans="1:14" ht="15.6" x14ac:dyDescent="0.25">
      <c r="A9" s="157"/>
      <c r="B9" s="152" t="s">
        <v>568</v>
      </c>
      <c r="C9" s="153" t="s">
        <v>557</v>
      </c>
      <c r="D9" s="154">
        <v>0.05</v>
      </c>
      <c r="E9" s="167" t="s">
        <v>558</v>
      </c>
      <c r="F9" s="167" t="s">
        <v>559</v>
      </c>
      <c r="G9" s="167" t="s">
        <v>560</v>
      </c>
    </row>
    <row r="10" spans="1:14" ht="15.6" x14ac:dyDescent="0.25">
      <c r="A10" s="150" t="s">
        <v>569</v>
      </c>
      <c r="B10" s="150" t="s">
        <v>419</v>
      </c>
      <c r="C10" s="158" t="s">
        <v>570</v>
      </c>
      <c r="D10" s="150">
        <v>0</v>
      </c>
      <c r="E10" s="167" t="s">
        <v>571</v>
      </c>
      <c r="F10" s="167" t="s">
        <v>572</v>
      </c>
      <c r="G10" s="167" t="s">
        <v>560</v>
      </c>
    </row>
    <row r="11" spans="1:14" ht="15.6" x14ac:dyDescent="0.25">
      <c r="A11" s="150" t="s">
        <v>418</v>
      </c>
      <c r="B11" s="152" t="s">
        <v>403</v>
      </c>
      <c r="C11" s="150" t="s">
        <v>573</v>
      </c>
      <c r="D11" s="150">
        <v>0</v>
      </c>
      <c r="E11" s="167" t="s">
        <v>574</v>
      </c>
      <c r="F11" s="167" t="s">
        <v>575</v>
      </c>
      <c r="G11" s="167" t="s">
        <v>560</v>
      </c>
    </row>
    <row r="12" spans="1:14" ht="15.6" x14ac:dyDescent="0.25">
      <c r="A12" s="152" t="s">
        <v>409</v>
      </c>
      <c r="B12" s="152" t="s">
        <v>403</v>
      </c>
      <c r="C12" s="150" t="s">
        <v>573</v>
      </c>
      <c r="D12" s="150">
        <v>0</v>
      </c>
      <c r="E12" s="167" t="s">
        <v>574</v>
      </c>
      <c r="F12" s="167" t="s">
        <v>575</v>
      </c>
      <c r="G12" s="167" t="s">
        <v>560</v>
      </c>
    </row>
    <row r="13" spans="1:14" ht="15.6" x14ac:dyDescent="0.25">
      <c r="A13" s="152" t="s">
        <v>418</v>
      </c>
      <c r="B13" s="152" t="s">
        <v>419</v>
      </c>
      <c r="C13" s="158" t="s">
        <v>570</v>
      </c>
      <c r="D13" s="150">
        <v>0</v>
      </c>
      <c r="E13" s="167" t="s">
        <v>576</v>
      </c>
      <c r="F13" s="167" t="s">
        <v>572</v>
      </c>
      <c r="G13" s="167" t="s">
        <v>560</v>
      </c>
    </row>
    <row r="14" spans="1:14" ht="14.4" x14ac:dyDescent="0.25">
      <c r="A14" s="135"/>
      <c r="B14" s="110"/>
      <c r="C14" s="111"/>
      <c r="D14" s="127"/>
      <c r="E14" s="168"/>
      <c r="F14" s="169"/>
      <c r="G14" s="170"/>
      <c r="H14" s="113"/>
      <c r="I14" s="113"/>
      <c r="J14" s="110"/>
      <c r="K14" s="110"/>
      <c r="L14" s="110"/>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09" r:id="rId3" name="Button 1">
              <controlPr defaultSize="0" print="0" autoFill="0" autoPict="0" macro="[0]!查询废固">
                <anchor moveWithCells="1" sizeWithCells="1">
                  <from>
                    <xdr:col>3</xdr:col>
                    <xdr:colOff>426720</xdr:colOff>
                    <xdr:row>0</xdr:row>
                    <xdr:rowOff>0</xdr:rowOff>
                  </from>
                  <to>
                    <xdr:col>4</xdr:col>
                    <xdr:colOff>1684020</xdr:colOff>
                    <xdr:row>3</xdr:row>
                    <xdr:rowOff>38100</xdr:rowOff>
                  </to>
                </anchor>
              </controlPr>
            </control>
          </mc:Choice>
        </mc:AlternateContent>
        <mc:AlternateContent xmlns:mc="http://schemas.openxmlformats.org/markup-compatibility/2006">
          <mc:Choice Requires="x14">
            <control shapeId="68610" r:id="rId4" name="Button 2">
              <controlPr defaultSize="0" print="0" autoFill="0" autoPict="0" macro="[0]!重置废固">
                <anchor moveWithCells="1" sizeWithCells="1">
                  <from>
                    <xdr:col>5</xdr:col>
                    <xdr:colOff>38100</xdr:colOff>
                    <xdr:row>0</xdr:row>
                    <xdr:rowOff>0</xdr:rowOff>
                  </from>
                  <to>
                    <xdr:col>5</xdr:col>
                    <xdr:colOff>1508760</xdr:colOff>
                    <xdr:row>3</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458"/>
  <sheetViews>
    <sheetView tabSelected="1" zoomScale="85" zoomScaleNormal="85" workbookViewId="0">
      <pane ySplit="1" topLeftCell="A2" activePane="bottomLeft" state="frozen"/>
      <selection pane="bottomLeft" activeCell="C44" sqref="C44"/>
    </sheetView>
  </sheetViews>
  <sheetFormatPr defaultColWidth="8.88671875" defaultRowHeight="13.8" x14ac:dyDescent="0.25"/>
  <cols>
    <col min="1" max="1" width="14.88671875" style="121" bestFit="1" customWidth="1"/>
    <col min="2" max="2" width="10.77734375" style="121" bestFit="1" customWidth="1"/>
    <col min="3" max="3" width="20.77734375" style="138" bestFit="1" customWidth="1"/>
    <col min="4" max="4" width="7.88671875" style="121" customWidth="1"/>
    <col min="5" max="5" width="31.88671875" style="121" customWidth="1"/>
    <col min="6" max="6" width="20.6640625" style="121" customWidth="1"/>
    <col min="7" max="7" width="24.21875" style="121" customWidth="1"/>
    <col min="8" max="9" width="8.77734375" style="121" bestFit="1" customWidth="1"/>
    <col min="10" max="10" width="27.33203125" style="121" customWidth="1"/>
    <col min="11" max="16384" width="8.88671875" style="121"/>
  </cols>
  <sheetData>
    <row r="1" spans="1:12" s="114" customFormat="1" ht="14.4" x14ac:dyDescent="0.25">
      <c r="A1" s="110" t="s">
        <v>372</v>
      </c>
      <c r="B1" s="110" t="s">
        <v>373</v>
      </c>
      <c r="C1" s="111" t="s">
        <v>374</v>
      </c>
      <c r="D1" s="111" t="s">
        <v>375</v>
      </c>
      <c r="E1" s="112" t="s">
        <v>376</v>
      </c>
      <c r="F1" s="110" t="s">
        <v>377</v>
      </c>
      <c r="G1" s="113" t="s">
        <v>378</v>
      </c>
      <c r="H1" s="113" t="s">
        <v>379</v>
      </c>
      <c r="I1" s="113" t="s">
        <v>380</v>
      </c>
      <c r="J1" s="110" t="s">
        <v>381</v>
      </c>
      <c r="K1" s="110" t="s">
        <v>382</v>
      </c>
      <c r="L1" s="110" t="s">
        <v>383</v>
      </c>
    </row>
    <row r="2" spans="1:12" ht="16.8" x14ac:dyDescent="0.25">
      <c r="A2" s="115" t="s">
        <v>384</v>
      </c>
      <c r="B2" s="115" t="s">
        <v>384</v>
      </c>
      <c r="C2" s="116" t="s">
        <v>385</v>
      </c>
      <c r="D2" s="117"/>
      <c r="E2" s="118" t="s">
        <v>386</v>
      </c>
      <c r="F2" s="119" t="s">
        <v>387</v>
      </c>
      <c r="G2" s="120">
        <v>0</v>
      </c>
      <c r="H2" s="120">
        <v>0</v>
      </c>
      <c r="I2" s="120">
        <v>0</v>
      </c>
      <c r="J2" s="115" t="s">
        <v>388</v>
      </c>
      <c r="K2" s="115" t="s">
        <v>389</v>
      </c>
      <c r="L2" s="115" t="s">
        <v>390</v>
      </c>
    </row>
    <row r="3" spans="1:12" ht="16.8" x14ac:dyDescent="0.25">
      <c r="A3" s="110" t="s">
        <v>391</v>
      </c>
      <c r="B3" s="110" t="s">
        <v>384</v>
      </c>
      <c r="C3" s="122" t="s">
        <v>392</v>
      </c>
      <c r="D3" s="117"/>
      <c r="E3" s="112" t="s">
        <v>393</v>
      </c>
      <c r="F3" s="113">
        <v>0.01</v>
      </c>
      <c r="G3" s="113" t="s">
        <v>394</v>
      </c>
      <c r="H3" s="113">
        <v>0.9</v>
      </c>
      <c r="I3" s="113">
        <v>0</v>
      </c>
      <c r="J3" s="112" t="s">
        <v>395</v>
      </c>
      <c r="K3" s="112" t="s">
        <v>396</v>
      </c>
      <c r="L3" s="112" t="s">
        <v>397</v>
      </c>
    </row>
    <row r="4" spans="1:12" ht="16.8" x14ac:dyDescent="0.25">
      <c r="A4" s="110"/>
      <c r="B4" s="110" t="s">
        <v>384</v>
      </c>
      <c r="C4" s="117" t="s">
        <v>398</v>
      </c>
      <c r="D4" s="117"/>
      <c r="E4" s="110" t="s">
        <v>399</v>
      </c>
      <c r="F4" s="123" t="s">
        <v>400</v>
      </c>
      <c r="G4" s="113">
        <v>0</v>
      </c>
      <c r="H4" s="113">
        <v>0</v>
      </c>
      <c r="I4" s="113">
        <v>0</v>
      </c>
      <c r="J4" s="124" t="s">
        <v>401</v>
      </c>
      <c r="K4" s="111"/>
      <c r="L4" s="110" t="s">
        <v>390</v>
      </c>
    </row>
    <row r="5" spans="1:12" ht="16.8" x14ac:dyDescent="0.25">
      <c r="A5" s="112" t="s">
        <v>402</v>
      </c>
      <c r="B5" s="112" t="s">
        <v>403</v>
      </c>
      <c r="C5" s="117" t="s">
        <v>620</v>
      </c>
      <c r="D5" s="117"/>
      <c r="E5" s="143" t="s">
        <v>404</v>
      </c>
      <c r="F5" s="123">
        <v>5.0000000000000001E-4</v>
      </c>
      <c r="G5" s="125" t="s">
        <v>405</v>
      </c>
      <c r="H5" s="113">
        <v>0.9</v>
      </c>
      <c r="I5" s="113">
        <v>0.8</v>
      </c>
      <c r="J5" s="126" t="s">
        <v>406</v>
      </c>
      <c r="K5" s="112" t="s">
        <v>407</v>
      </c>
      <c r="L5" s="112" t="s">
        <v>408</v>
      </c>
    </row>
    <row r="6" spans="1:12" s="180" customFormat="1" ht="16.8" x14ac:dyDescent="0.25">
      <c r="A6" s="175" t="s">
        <v>409</v>
      </c>
      <c r="B6" s="175" t="s">
        <v>403</v>
      </c>
      <c r="C6" s="176" t="s">
        <v>621</v>
      </c>
      <c r="D6" s="176"/>
      <c r="E6" s="143" t="s">
        <v>622</v>
      </c>
      <c r="F6" s="177">
        <v>5.0000000000000001E-4</v>
      </c>
      <c r="G6" s="178" t="s">
        <v>410</v>
      </c>
      <c r="H6" s="179">
        <v>0.95</v>
      </c>
      <c r="I6" s="179">
        <v>0.99</v>
      </c>
      <c r="J6" s="175" t="s">
        <v>618</v>
      </c>
      <c r="K6" s="175" t="s">
        <v>619</v>
      </c>
      <c r="L6" s="175" t="s">
        <v>411</v>
      </c>
    </row>
    <row r="7" spans="1:12" ht="16.8" x14ac:dyDescent="0.25">
      <c r="A7" s="110" t="s">
        <v>412</v>
      </c>
      <c r="B7" s="110" t="s">
        <v>413</v>
      </c>
      <c r="C7" s="127" t="s">
        <v>414</v>
      </c>
      <c r="D7" s="117"/>
      <c r="E7" s="110" t="s">
        <v>415</v>
      </c>
      <c r="F7" s="123">
        <v>5.0000000000000001E-4</v>
      </c>
      <c r="G7" s="113" t="s">
        <v>410</v>
      </c>
      <c r="H7" s="113">
        <v>0.95</v>
      </c>
      <c r="I7" s="113">
        <v>0.99</v>
      </c>
      <c r="J7" s="110" t="s">
        <v>416</v>
      </c>
      <c r="K7" s="110" t="s">
        <v>417</v>
      </c>
      <c r="L7" s="110" t="s">
        <v>411</v>
      </c>
    </row>
    <row r="8" spans="1:12" ht="16.8" x14ac:dyDescent="0.25">
      <c r="A8" s="128" t="s">
        <v>418</v>
      </c>
      <c r="B8" s="110" t="s">
        <v>419</v>
      </c>
      <c r="C8" s="129" t="s">
        <v>420</v>
      </c>
      <c r="D8" s="117"/>
      <c r="E8" s="112" t="s">
        <v>421</v>
      </c>
      <c r="F8" s="130">
        <v>1.75E-4</v>
      </c>
      <c r="G8" s="113">
        <v>0</v>
      </c>
      <c r="H8" s="113">
        <v>0.9</v>
      </c>
      <c r="I8" s="113">
        <v>0.99</v>
      </c>
      <c r="J8" s="110" t="s">
        <v>422</v>
      </c>
      <c r="K8" s="118" t="s">
        <v>423</v>
      </c>
      <c r="L8" s="110" t="s">
        <v>424</v>
      </c>
    </row>
    <row r="9" spans="1:12" ht="16.8" x14ac:dyDescent="0.25">
      <c r="A9" s="110" t="s">
        <v>425</v>
      </c>
      <c r="B9" s="110" t="s">
        <v>426</v>
      </c>
      <c r="C9" s="129" t="s">
        <v>420</v>
      </c>
      <c r="D9" s="117"/>
      <c r="E9" s="112" t="s">
        <v>421</v>
      </c>
      <c r="F9" s="130">
        <v>1.75E-4</v>
      </c>
      <c r="G9" s="113">
        <v>0</v>
      </c>
      <c r="H9" s="113">
        <v>0.9</v>
      </c>
      <c r="I9" s="113">
        <v>0.99</v>
      </c>
      <c r="J9" s="110" t="s">
        <v>422</v>
      </c>
      <c r="K9" s="118" t="s">
        <v>423</v>
      </c>
      <c r="L9" s="110" t="s">
        <v>424</v>
      </c>
    </row>
    <row r="10" spans="1:12" ht="16.8" x14ac:dyDescent="0.25">
      <c r="A10" s="112" t="s">
        <v>418</v>
      </c>
      <c r="B10" s="110" t="s">
        <v>427</v>
      </c>
      <c r="C10" s="129" t="s">
        <v>420</v>
      </c>
      <c r="D10" s="117"/>
      <c r="E10" s="112" t="s">
        <v>421</v>
      </c>
      <c r="F10" s="130">
        <v>1.75E-4</v>
      </c>
      <c r="G10" s="113">
        <v>0</v>
      </c>
      <c r="H10" s="113">
        <v>0.9</v>
      </c>
      <c r="I10" s="113">
        <v>0.99</v>
      </c>
      <c r="J10" s="110" t="s">
        <v>422</v>
      </c>
      <c r="K10" s="118" t="s">
        <v>423</v>
      </c>
      <c r="L10" s="110" t="s">
        <v>424</v>
      </c>
    </row>
    <row r="11" spans="1:12" ht="16.8" x14ac:dyDescent="0.25">
      <c r="A11" s="112" t="s">
        <v>418</v>
      </c>
      <c r="B11" s="110" t="s">
        <v>428</v>
      </c>
      <c r="C11" s="129" t="s">
        <v>420</v>
      </c>
      <c r="D11" s="117"/>
      <c r="E11" s="112" t="s">
        <v>421</v>
      </c>
      <c r="F11" s="130">
        <v>1.75E-4</v>
      </c>
      <c r="G11" s="113">
        <v>0</v>
      </c>
      <c r="H11" s="113">
        <v>0.9</v>
      </c>
      <c r="I11" s="113">
        <v>0.99</v>
      </c>
      <c r="J11" s="110" t="s">
        <v>422</v>
      </c>
      <c r="K11" s="118" t="s">
        <v>423</v>
      </c>
      <c r="L11" s="110" t="s">
        <v>424</v>
      </c>
    </row>
    <row r="12" spans="1:12" ht="16.8" x14ac:dyDescent="0.25">
      <c r="A12" s="112" t="s">
        <v>418</v>
      </c>
      <c r="B12" s="110" t="s">
        <v>429</v>
      </c>
      <c r="C12" s="129" t="s">
        <v>420</v>
      </c>
      <c r="D12" s="117"/>
      <c r="E12" s="112" t="s">
        <v>421</v>
      </c>
      <c r="F12" s="130">
        <v>1.75E-4</v>
      </c>
      <c r="G12" s="113">
        <v>0</v>
      </c>
      <c r="H12" s="113">
        <v>0.9</v>
      </c>
      <c r="I12" s="113">
        <v>0.99</v>
      </c>
      <c r="J12" s="110" t="s">
        <v>422</v>
      </c>
      <c r="K12" s="118" t="s">
        <v>423</v>
      </c>
      <c r="L12" s="110" t="s">
        <v>424</v>
      </c>
    </row>
    <row r="13" spans="1:12" ht="16.8" x14ac:dyDescent="0.25">
      <c r="A13" s="110" t="s">
        <v>430</v>
      </c>
      <c r="B13" s="110" t="s">
        <v>431</v>
      </c>
      <c r="C13" s="131" t="s">
        <v>432</v>
      </c>
      <c r="D13" s="117"/>
      <c r="E13" s="132" t="s">
        <v>433</v>
      </c>
      <c r="F13" s="123">
        <v>0.05</v>
      </c>
      <c r="G13" s="113">
        <v>0</v>
      </c>
      <c r="H13" s="113">
        <v>0.9</v>
      </c>
      <c r="I13" s="113">
        <v>0</v>
      </c>
      <c r="J13" s="110" t="s">
        <v>434</v>
      </c>
      <c r="K13" s="110" t="s">
        <v>435</v>
      </c>
      <c r="L13" s="110" t="s">
        <v>436</v>
      </c>
    </row>
    <row r="14" spans="1:12" ht="16.8" x14ac:dyDescent="0.25">
      <c r="A14" s="110" t="s">
        <v>430</v>
      </c>
      <c r="B14" s="110" t="s">
        <v>437</v>
      </c>
      <c r="C14" s="131" t="s">
        <v>438</v>
      </c>
      <c r="D14" s="117"/>
      <c r="E14" s="132" t="s">
        <v>433</v>
      </c>
      <c r="F14" s="123">
        <v>0.05</v>
      </c>
      <c r="G14" s="113">
        <v>0</v>
      </c>
      <c r="H14" s="113">
        <v>0.9</v>
      </c>
      <c r="I14" s="113">
        <v>0</v>
      </c>
      <c r="J14" s="110" t="s">
        <v>434</v>
      </c>
      <c r="K14" s="110" t="s">
        <v>435</v>
      </c>
      <c r="L14" s="110" t="s">
        <v>436</v>
      </c>
    </row>
    <row r="15" spans="1:12" ht="16.8" x14ac:dyDescent="0.25">
      <c r="A15" s="110" t="s">
        <v>439</v>
      </c>
      <c r="B15" s="110" t="s">
        <v>440</v>
      </c>
      <c r="C15" s="111" t="s">
        <v>441</v>
      </c>
      <c r="D15" s="111"/>
      <c r="E15" s="132" t="s">
        <v>442</v>
      </c>
      <c r="F15" s="110" t="s">
        <v>443</v>
      </c>
      <c r="G15" s="113" t="s">
        <v>444</v>
      </c>
      <c r="H15" s="113">
        <v>0.9</v>
      </c>
      <c r="I15" s="113">
        <v>0.9</v>
      </c>
      <c r="J15" s="110" t="s">
        <v>445</v>
      </c>
      <c r="K15" s="110" t="s">
        <v>446</v>
      </c>
      <c r="L15" s="110" t="s">
        <v>447</v>
      </c>
    </row>
    <row r="16" spans="1:12" ht="16.8" x14ac:dyDescent="0.25">
      <c r="A16" s="110" t="s">
        <v>448</v>
      </c>
      <c r="B16" s="110" t="s">
        <v>449</v>
      </c>
      <c r="C16" s="110" t="s">
        <v>450</v>
      </c>
      <c r="D16" s="110"/>
      <c r="E16" s="110" t="s">
        <v>451</v>
      </c>
      <c r="F16" s="123" t="s">
        <v>443</v>
      </c>
      <c r="G16" s="133" t="s">
        <v>452</v>
      </c>
      <c r="H16" s="113">
        <v>0.9</v>
      </c>
      <c r="I16" s="113">
        <v>0.9</v>
      </c>
      <c r="J16" s="124" t="s">
        <v>453</v>
      </c>
      <c r="K16" s="112" t="s">
        <v>454</v>
      </c>
      <c r="L16" s="110" t="s">
        <v>455</v>
      </c>
    </row>
    <row r="17" spans="1:12" ht="16.8" x14ac:dyDescent="0.25">
      <c r="A17" s="110" t="s">
        <v>448</v>
      </c>
      <c r="B17" s="110" t="s">
        <v>456</v>
      </c>
      <c r="C17" s="110" t="s">
        <v>450</v>
      </c>
      <c r="D17" s="110"/>
      <c r="E17" s="110" t="s">
        <v>451</v>
      </c>
      <c r="F17" s="123" t="s">
        <v>443</v>
      </c>
      <c r="G17" s="133" t="s">
        <v>452</v>
      </c>
      <c r="H17" s="113">
        <v>0.9</v>
      </c>
      <c r="I17" s="113">
        <v>0.9</v>
      </c>
      <c r="J17" s="124" t="s">
        <v>453</v>
      </c>
      <c r="K17" s="112" t="s">
        <v>454</v>
      </c>
      <c r="L17" s="110" t="s">
        <v>455</v>
      </c>
    </row>
    <row r="18" spans="1:12" ht="16.8" x14ac:dyDescent="0.25">
      <c r="A18" s="110" t="s">
        <v>457</v>
      </c>
      <c r="B18" s="110" t="s">
        <v>458</v>
      </c>
      <c r="C18" s="111" t="s">
        <v>459</v>
      </c>
      <c r="D18" s="117"/>
      <c r="E18" s="110" t="s">
        <v>460</v>
      </c>
      <c r="F18" s="110" t="s">
        <v>443</v>
      </c>
      <c r="G18" s="113">
        <v>0</v>
      </c>
      <c r="H18" s="113">
        <v>0.9</v>
      </c>
      <c r="I18" s="113">
        <v>0</v>
      </c>
      <c r="J18" s="124" t="s">
        <v>461</v>
      </c>
      <c r="K18" s="112" t="s">
        <v>462</v>
      </c>
      <c r="L18" s="110" t="s">
        <v>436</v>
      </c>
    </row>
    <row r="19" spans="1:12" ht="16.8" x14ac:dyDescent="0.25">
      <c r="A19" s="110" t="s">
        <v>457</v>
      </c>
      <c r="B19" s="110" t="s">
        <v>463</v>
      </c>
      <c r="C19" s="111" t="s">
        <v>464</v>
      </c>
      <c r="D19" s="127"/>
      <c r="E19" s="110" t="s">
        <v>465</v>
      </c>
      <c r="F19" s="110" t="s">
        <v>443</v>
      </c>
      <c r="G19" s="113">
        <v>0</v>
      </c>
      <c r="H19" s="113">
        <v>0.9</v>
      </c>
      <c r="I19" s="113">
        <v>0</v>
      </c>
      <c r="J19" s="124" t="s">
        <v>466</v>
      </c>
      <c r="K19" s="112" t="s">
        <v>467</v>
      </c>
      <c r="L19" s="110" t="s">
        <v>436</v>
      </c>
    </row>
    <row r="20" spans="1:12" ht="16.8" x14ac:dyDescent="0.25">
      <c r="A20" s="110" t="s">
        <v>468</v>
      </c>
      <c r="B20" s="110"/>
      <c r="C20" s="111" t="s">
        <v>469</v>
      </c>
      <c r="D20" s="117"/>
      <c r="E20" s="110" t="s">
        <v>470</v>
      </c>
      <c r="F20" s="110" t="s">
        <v>443</v>
      </c>
      <c r="G20" s="113">
        <v>0</v>
      </c>
      <c r="H20" s="113">
        <v>0.9</v>
      </c>
      <c r="I20" s="113">
        <v>0</v>
      </c>
      <c r="J20" s="124" t="s">
        <v>471</v>
      </c>
      <c r="K20" s="112" t="s">
        <v>472</v>
      </c>
      <c r="L20" s="110" t="s">
        <v>436</v>
      </c>
    </row>
    <row r="21" spans="1:12" ht="16.8" x14ac:dyDescent="0.25">
      <c r="A21" s="110" t="s">
        <v>391</v>
      </c>
      <c r="B21" s="110" t="s">
        <v>391</v>
      </c>
      <c r="C21" s="111" t="s">
        <v>473</v>
      </c>
      <c r="D21" s="111"/>
      <c r="E21" s="110" t="s">
        <v>470</v>
      </c>
      <c r="F21" s="110" t="s">
        <v>443</v>
      </c>
      <c r="G21" s="113">
        <v>0</v>
      </c>
      <c r="H21" s="113">
        <v>0.9</v>
      </c>
      <c r="I21" s="113">
        <v>0</v>
      </c>
      <c r="J21" s="110" t="s">
        <v>474</v>
      </c>
      <c r="K21" s="112" t="s">
        <v>475</v>
      </c>
      <c r="L21" s="110" t="s">
        <v>436</v>
      </c>
    </row>
    <row r="22" spans="1:12" ht="16.8" x14ac:dyDescent="0.25">
      <c r="A22" s="110" t="s">
        <v>476</v>
      </c>
      <c r="B22" s="112" t="s">
        <v>477</v>
      </c>
      <c r="C22" s="111" t="s">
        <v>478</v>
      </c>
      <c r="D22" s="111"/>
      <c r="E22" s="110" t="s">
        <v>479</v>
      </c>
      <c r="F22" s="110" t="s">
        <v>480</v>
      </c>
      <c r="G22" s="113">
        <v>0</v>
      </c>
      <c r="H22" s="113">
        <v>0.9</v>
      </c>
      <c r="I22" s="113">
        <v>0</v>
      </c>
      <c r="J22" s="112" t="s">
        <v>481</v>
      </c>
      <c r="K22" s="112" t="s">
        <v>482</v>
      </c>
      <c r="L22" s="110" t="s">
        <v>436</v>
      </c>
    </row>
    <row r="23" spans="1:12" ht="16.8" x14ac:dyDescent="0.25">
      <c r="A23" s="110" t="s">
        <v>483</v>
      </c>
      <c r="B23" s="110" t="s">
        <v>484</v>
      </c>
      <c r="C23" s="111" t="s">
        <v>485</v>
      </c>
      <c r="D23" s="127"/>
      <c r="E23" s="110" t="s">
        <v>486</v>
      </c>
      <c r="F23" s="110" t="s">
        <v>443</v>
      </c>
      <c r="G23" s="113">
        <v>0</v>
      </c>
      <c r="H23" s="113">
        <v>0</v>
      </c>
      <c r="I23" s="113">
        <v>0</v>
      </c>
      <c r="J23" s="112" t="s">
        <v>487</v>
      </c>
      <c r="K23" s="112" t="s">
        <v>488</v>
      </c>
      <c r="L23" s="112" t="s">
        <v>489</v>
      </c>
    </row>
    <row r="24" spans="1:12" ht="16.8" x14ac:dyDescent="0.25">
      <c r="A24" s="110" t="s">
        <v>490</v>
      </c>
      <c r="B24" s="112" t="s">
        <v>491</v>
      </c>
      <c r="C24" s="127" t="s">
        <v>492</v>
      </c>
      <c r="D24" s="127" t="s">
        <v>538</v>
      </c>
      <c r="E24" s="110" t="s">
        <v>493</v>
      </c>
      <c r="F24" s="110" t="s">
        <v>400</v>
      </c>
      <c r="G24" s="113">
        <v>0</v>
      </c>
      <c r="H24" s="113">
        <v>0.9</v>
      </c>
      <c r="I24" s="113">
        <v>0</v>
      </c>
      <c r="J24" s="110" t="s">
        <v>494</v>
      </c>
      <c r="K24" s="112" t="s">
        <v>495</v>
      </c>
      <c r="L24" s="110" t="s">
        <v>436</v>
      </c>
    </row>
    <row r="25" spans="1:12" ht="16.8" x14ac:dyDescent="0.25">
      <c r="A25" s="110" t="s">
        <v>483</v>
      </c>
      <c r="B25" s="110" t="s">
        <v>491</v>
      </c>
      <c r="C25" s="127" t="s">
        <v>491</v>
      </c>
      <c r="D25" s="127" t="s">
        <v>539</v>
      </c>
      <c r="E25" s="132" t="s">
        <v>496</v>
      </c>
      <c r="F25" s="134">
        <v>3.5E-4</v>
      </c>
      <c r="G25" s="125" t="s">
        <v>497</v>
      </c>
      <c r="H25" s="113">
        <v>0.9</v>
      </c>
      <c r="I25" s="113">
        <v>0.7</v>
      </c>
      <c r="J25" s="110" t="s">
        <v>498</v>
      </c>
      <c r="K25" s="110" t="s">
        <v>499</v>
      </c>
      <c r="L25" s="110" t="s">
        <v>436</v>
      </c>
    </row>
    <row r="26" spans="1:12" ht="16.8" x14ac:dyDescent="0.25">
      <c r="A26" s="110" t="s">
        <v>483</v>
      </c>
      <c r="B26" s="110" t="s">
        <v>491</v>
      </c>
      <c r="C26" s="127" t="s">
        <v>491</v>
      </c>
      <c r="D26" s="109" t="s">
        <v>322</v>
      </c>
      <c r="E26" s="132" t="s">
        <v>496</v>
      </c>
      <c r="F26" s="134">
        <v>3.5E-4</v>
      </c>
      <c r="G26" s="125" t="s">
        <v>497</v>
      </c>
      <c r="H26" s="113">
        <v>0.9</v>
      </c>
      <c r="I26" s="113">
        <v>0.7</v>
      </c>
      <c r="J26" s="110" t="s">
        <v>498</v>
      </c>
      <c r="K26" s="110" t="s">
        <v>499</v>
      </c>
      <c r="L26" s="110" t="s">
        <v>500</v>
      </c>
    </row>
    <row r="27" spans="1:12" ht="16.8" x14ac:dyDescent="0.25">
      <c r="A27" s="110" t="s">
        <v>483</v>
      </c>
      <c r="B27" s="110" t="s">
        <v>491</v>
      </c>
      <c r="C27" s="127" t="s">
        <v>491</v>
      </c>
      <c r="D27" s="109" t="s">
        <v>323</v>
      </c>
      <c r="E27" s="132" t="s">
        <v>496</v>
      </c>
      <c r="F27" s="134">
        <v>3.5E-4</v>
      </c>
      <c r="G27" s="125" t="s">
        <v>497</v>
      </c>
      <c r="H27" s="113">
        <v>0.9</v>
      </c>
      <c r="I27" s="113">
        <v>0.7</v>
      </c>
      <c r="J27" s="110" t="s">
        <v>498</v>
      </c>
      <c r="K27" s="110" t="s">
        <v>499</v>
      </c>
      <c r="L27" s="110" t="s">
        <v>500</v>
      </c>
    </row>
    <row r="28" spans="1:12" ht="16.8" x14ac:dyDescent="0.25">
      <c r="A28" s="110" t="s">
        <v>483</v>
      </c>
      <c r="B28" s="110" t="s">
        <v>491</v>
      </c>
      <c r="C28" s="127" t="s">
        <v>491</v>
      </c>
      <c r="D28" s="109" t="s">
        <v>325</v>
      </c>
      <c r="E28" s="132" t="s">
        <v>496</v>
      </c>
      <c r="F28" s="134">
        <v>3.5E-4</v>
      </c>
      <c r="G28" s="125" t="s">
        <v>497</v>
      </c>
      <c r="H28" s="113">
        <v>0.9</v>
      </c>
      <c r="I28" s="113">
        <v>0.7</v>
      </c>
      <c r="J28" s="110" t="s">
        <v>498</v>
      </c>
      <c r="K28" s="110" t="s">
        <v>499</v>
      </c>
      <c r="L28" s="110" t="s">
        <v>500</v>
      </c>
    </row>
    <row r="29" spans="1:12" ht="16.8" x14ac:dyDescent="0.25">
      <c r="A29" s="110" t="s">
        <v>483</v>
      </c>
      <c r="B29" s="110" t="s">
        <v>491</v>
      </c>
      <c r="C29" s="127" t="s">
        <v>491</v>
      </c>
      <c r="D29" s="109" t="s">
        <v>326</v>
      </c>
      <c r="E29" s="132" t="s">
        <v>496</v>
      </c>
      <c r="F29" s="134">
        <v>3.5E-4</v>
      </c>
      <c r="G29" s="125" t="s">
        <v>497</v>
      </c>
      <c r="H29" s="113">
        <v>0.9</v>
      </c>
      <c r="I29" s="113">
        <v>0.7</v>
      </c>
      <c r="J29" s="110" t="s">
        <v>498</v>
      </c>
      <c r="K29" s="110" t="s">
        <v>499</v>
      </c>
      <c r="L29" s="110" t="s">
        <v>500</v>
      </c>
    </row>
    <row r="30" spans="1:12" ht="16.8" x14ac:dyDescent="0.25">
      <c r="A30" s="110" t="s">
        <v>483</v>
      </c>
      <c r="B30" s="110" t="s">
        <v>491</v>
      </c>
      <c r="C30" s="127" t="s">
        <v>491</v>
      </c>
      <c r="D30" s="109" t="s">
        <v>327</v>
      </c>
      <c r="E30" s="132" t="s">
        <v>496</v>
      </c>
      <c r="F30" s="134">
        <v>3.5E-4</v>
      </c>
      <c r="G30" s="125" t="s">
        <v>497</v>
      </c>
      <c r="H30" s="113">
        <v>0.9</v>
      </c>
      <c r="I30" s="113">
        <v>0.7</v>
      </c>
      <c r="J30" s="110" t="s">
        <v>498</v>
      </c>
      <c r="K30" s="110" t="s">
        <v>499</v>
      </c>
      <c r="L30" s="110" t="s">
        <v>500</v>
      </c>
    </row>
    <row r="31" spans="1:12" ht="16.8" x14ac:dyDescent="0.25">
      <c r="A31" s="110" t="s">
        <v>483</v>
      </c>
      <c r="B31" s="110" t="s">
        <v>491</v>
      </c>
      <c r="C31" s="127" t="s">
        <v>491</v>
      </c>
      <c r="D31" s="109" t="s">
        <v>369</v>
      </c>
      <c r="E31" s="132" t="s">
        <v>496</v>
      </c>
      <c r="F31" s="134">
        <v>3.5E-4</v>
      </c>
      <c r="G31" s="125" t="s">
        <v>497</v>
      </c>
      <c r="H31" s="113">
        <v>0.9</v>
      </c>
      <c r="I31" s="113">
        <v>0.7</v>
      </c>
      <c r="J31" s="110" t="s">
        <v>498</v>
      </c>
      <c r="K31" s="110" t="s">
        <v>499</v>
      </c>
      <c r="L31" s="110" t="s">
        <v>500</v>
      </c>
    </row>
    <row r="32" spans="1:12" ht="16.8" x14ac:dyDescent="0.25">
      <c r="A32" s="110" t="s">
        <v>483</v>
      </c>
      <c r="B32" s="110" t="s">
        <v>491</v>
      </c>
      <c r="C32" s="127" t="s">
        <v>491</v>
      </c>
      <c r="D32" s="109" t="s">
        <v>314</v>
      </c>
      <c r="E32" s="132" t="s">
        <v>496</v>
      </c>
      <c r="F32" s="134">
        <v>3.5E-4</v>
      </c>
      <c r="G32" s="125" t="s">
        <v>497</v>
      </c>
      <c r="H32" s="113">
        <v>0.9</v>
      </c>
      <c r="I32" s="113">
        <v>0.7</v>
      </c>
      <c r="J32" s="110" t="s">
        <v>498</v>
      </c>
      <c r="K32" s="110" t="s">
        <v>499</v>
      </c>
      <c r="L32" s="110" t="s">
        <v>500</v>
      </c>
    </row>
    <row r="33" spans="1:12" ht="16.8" x14ac:dyDescent="0.25">
      <c r="A33" s="110" t="s">
        <v>483</v>
      </c>
      <c r="B33" s="110" t="s">
        <v>491</v>
      </c>
      <c r="C33" s="127" t="s">
        <v>491</v>
      </c>
      <c r="D33" s="109" t="s">
        <v>321</v>
      </c>
      <c r="E33" s="132" t="s">
        <v>496</v>
      </c>
      <c r="F33" s="134">
        <v>3.5E-4</v>
      </c>
      <c r="G33" s="125" t="s">
        <v>497</v>
      </c>
      <c r="H33" s="113">
        <v>0.9</v>
      </c>
      <c r="I33" s="113">
        <v>0.7</v>
      </c>
      <c r="J33" s="110" t="s">
        <v>498</v>
      </c>
      <c r="K33" s="110" t="s">
        <v>499</v>
      </c>
      <c r="L33" s="110" t="s">
        <v>500</v>
      </c>
    </row>
    <row r="34" spans="1:12" ht="16.8" x14ac:dyDescent="0.25">
      <c r="A34" s="110" t="s">
        <v>483</v>
      </c>
      <c r="B34" s="110" t="s">
        <v>491</v>
      </c>
      <c r="C34" s="127" t="s">
        <v>491</v>
      </c>
      <c r="D34" s="109" t="s">
        <v>324</v>
      </c>
      <c r="E34" s="132" t="s">
        <v>496</v>
      </c>
      <c r="F34" s="134">
        <v>3.5E-4</v>
      </c>
      <c r="G34" s="125" t="s">
        <v>497</v>
      </c>
      <c r="H34" s="113">
        <v>0.9</v>
      </c>
      <c r="I34" s="113">
        <v>0.7</v>
      </c>
      <c r="J34" s="110" t="s">
        <v>498</v>
      </c>
      <c r="K34" s="110" t="s">
        <v>499</v>
      </c>
      <c r="L34" s="110" t="s">
        <v>500</v>
      </c>
    </row>
    <row r="35" spans="1:12" ht="14.4" x14ac:dyDescent="0.25">
      <c r="A35" s="135" t="s">
        <v>551</v>
      </c>
      <c r="B35" s="110" t="s">
        <v>502</v>
      </c>
      <c r="C35" s="111" t="s">
        <v>512</v>
      </c>
      <c r="D35" s="127"/>
      <c r="E35" s="132" t="s">
        <v>496</v>
      </c>
      <c r="F35" s="136">
        <v>8.5000000000000006E-3</v>
      </c>
      <c r="G35" s="113" t="s">
        <v>444</v>
      </c>
      <c r="H35" s="113">
        <v>0.9</v>
      </c>
      <c r="I35" s="113">
        <v>0.9</v>
      </c>
      <c r="J35" s="137" t="s">
        <v>513</v>
      </c>
      <c r="K35" s="137" t="s">
        <v>514</v>
      </c>
      <c r="L35" s="137" t="s">
        <v>506</v>
      </c>
    </row>
    <row r="36" spans="1:12" ht="14.4" x14ac:dyDescent="0.25">
      <c r="A36" s="135" t="s">
        <v>551</v>
      </c>
      <c r="B36" s="110" t="s">
        <v>507</v>
      </c>
      <c r="C36" s="111" t="s">
        <v>515</v>
      </c>
      <c r="D36" s="127"/>
      <c r="E36" s="132" t="s">
        <v>496</v>
      </c>
      <c r="F36" s="136">
        <v>8.5000000000000006E-3</v>
      </c>
      <c r="G36" s="113" t="s">
        <v>444</v>
      </c>
      <c r="H36" s="113">
        <v>0.9</v>
      </c>
      <c r="I36" s="113">
        <v>0.9</v>
      </c>
      <c r="J36" s="137" t="s">
        <v>513</v>
      </c>
      <c r="K36" s="137" t="s">
        <v>514</v>
      </c>
      <c r="L36" s="137" t="s">
        <v>506</v>
      </c>
    </row>
    <row r="37" spans="1:12" ht="14.4" x14ac:dyDescent="0.25">
      <c r="A37" s="110" t="s">
        <v>585</v>
      </c>
      <c r="B37" s="110" t="s">
        <v>491</v>
      </c>
      <c r="C37" s="111" t="s">
        <v>509</v>
      </c>
      <c r="D37" s="127"/>
      <c r="E37" s="132" t="s">
        <v>496</v>
      </c>
      <c r="F37" s="136">
        <v>8.5000000000000006E-3</v>
      </c>
      <c r="G37" s="113" t="s">
        <v>444</v>
      </c>
      <c r="H37" s="113">
        <v>0.9</v>
      </c>
      <c r="I37" s="113">
        <v>0</v>
      </c>
      <c r="J37" s="110" t="s">
        <v>510</v>
      </c>
      <c r="K37" s="110" t="s">
        <v>511</v>
      </c>
      <c r="L37" s="110" t="s">
        <v>506</v>
      </c>
    </row>
    <row r="38" spans="1:12" ht="16.8" x14ac:dyDescent="0.25">
      <c r="A38" s="135" t="s">
        <v>501</v>
      </c>
      <c r="B38" s="110" t="s">
        <v>502</v>
      </c>
      <c r="C38" s="111" t="s">
        <v>503</v>
      </c>
      <c r="E38" s="132" t="s">
        <v>496</v>
      </c>
      <c r="F38" s="134">
        <v>3.5E-4</v>
      </c>
      <c r="G38" s="113" t="s">
        <v>444</v>
      </c>
      <c r="H38" s="113">
        <v>0.9</v>
      </c>
      <c r="I38" s="113">
        <v>0.9</v>
      </c>
      <c r="J38" s="110" t="s">
        <v>504</v>
      </c>
      <c r="K38" s="110" t="s">
        <v>505</v>
      </c>
      <c r="L38" s="110" t="s">
        <v>506</v>
      </c>
    </row>
    <row r="39" spans="1:12" ht="16.8" x14ac:dyDescent="0.25">
      <c r="A39" s="135" t="s">
        <v>501</v>
      </c>
      <c r="B39" s="110" t="s">
        <v>507</v>
      </c>
      <c r="C39" s="111" t="s">
        <v>508</v>
      </c>
      <c r="D39" s="127"/>
      <c r="E39" s="132" t="s">
        <v>496</v>
      </c>
      <c r="F39" s="134">
        <v>3.5E-4</v>
      </c>
      <c r="G39" s="113" t="s">
        <v>444</v>
      </c>
      <c r="H39" s="113">
        <v>0.9</v>
      </c>
      <c r="I39" s="113">
        <v>0.9</v>
      </c>
      <c r="J39" s="110" t="s">
        <v>504</v>
      </c>
      <c r="K39" s="110" t="s">
        <v>505</v>
      </c>
      <c r="L39" s="110" t="s">
        <v>506</v>
      </c>
    </row>
    <row r="40" spans="1:12" ht="14.4" x14ac:dyDescent="0.25">
      <c r="A40" s="110"/>
      <c r="B40" s="110" t="s">
        <v>516</v>
      </c>
      <c r="C40" s="129" t="s">
        <v>517</v>
      </c>
      <c r="D40" s="127"/>
      <c r="E40" s="110" t="s">
        <v>518</v>
      </c>
      <c r="F40" s="110" t="s">
        <v>443</v>
      </c>
      <c r="G40" s="113">
        <v>0</v>
      </c>
      <c r="H40" s="113">
        <v>0.9</v>
      </c>
      <c r="I40" s="113">
        <v>0</v>
      </c>
      <c r="J40" s="110" t="s">
        <v>519</v>
      </c>
      <c r="K40" s="110" t="s">
        <v>520</v>
      </c>
      <c r="L40" s="110" t="s">
        <v>521</v>
      </c>
    </row>
    <row r="41" spans="1:12" ht="14.4" x14ac:dyDescent="0.25">
      <c r="A41" s="110"/>
      <c r="B41" s="110" t="s">
        <v>522</v>
      </c>
      <c r="C41" s="129" t="s">
        <v>517</v>
      </c>
      <c r="D41" s="127"/>
      <c r="E41" s="110" t="s">
        <v>518</v>
      </c>
      <c r="F41" s="110" t="s">
        <v>443</v>
      </c>
      <c r="G41" s="113">
        <v>0</v>
      </c>
      <c r="H41" s="113">
        <v>0.9</v>
      </c>
      <c r="I41" s="113">
        <v>0</v>
      </c>
      <c r="J41" s="110" t="s">
        <v>519</v>
      </c>
      <c r="K41" s="110" t="s">
        <v>520</v>
      </c>
      <c r="L41" s="110" t="s">
        <v>521</v>
      </c>
    </row>
    <row r="42" spans="1:12" ht="14.4" x14ac:dyDescent="0.25">
      <c r="A42" s="110"/>
      <c r="B42" s="110" t="s">
        <v>523</v>
      </c>
      <c r="C42" s="129" t="s">
        <v>517</v>
      </c>
      <c r="D42" s="127"/>
      <c r="E42" s="110" t="s">
        <v>518</v>
      </c>
      <c r="F42" s="110" t="s">
        <v>443</v>
      </c>
      <c r="G42" s="113">
        <v>0</v>
      </c>
      <c r="H42" s="113">
        <v>0.9</v>
      </c>
      <c r="I42" s="113">
        <v>0</v>
      </c>
      <c r="J42" s="110" t="s">
        <v>519</v>
      </c>
      <c r="K42" s="110" t="s">
        <v>520</v>
      </c>
      <c r="L42" s="110" t="s">
        <v>521</v>
      </c>
    </row>
    <row r="43" spans="1:12" ht="14.4" x14ac:dyDescent="0.25">
      <c r="A43" s="110" t="s">
        <v>524</v>
      </c>
      <c r="B43" s="110" t="s">
        <v>525</v>
      </c>
      <c r="C43" s="127" t="s">
        <v>526</v>
      </c>
      <c r="D43" s="127"/>
      <c r="E43" s="110" t="s">
        <v>527</v>
      </c>
      <c r="F43" s="113">
        <v>0.1</v>
      </c>
      <c r="G43" s="113">
        <v>0</v>
      </c>
      <c r="H43" s="113">
        <v>0.9</v>
      </c>
      <c r="I43" s="113">
        <v>0</v>
      </c>
      <c r="J43" s="110" t="s">
        <v>528</v>
      </c>
      <c r="K43" s="110" t="s">
        <v>529</v>
      </c>
      <c r="L43" s="110" t="s">
        <v>530</v>
      </c>
    </row>
    <row r="44" spans="1:12" ht="14.4" x14ac:dyDescent="0.25">
      <c r="A44" s="110" t="s">
        <v>531</v>
      </c>
      <c r="B44" s="110" t="s">
        <v>413</v>
      </c>
      <c r="C44" s="111" t="s">
        <v>532</v>
      </c>
      <c r="D44" s="127"/>
      <c r="E44" s="110" t="s">
        <v>533</v>
      </c>
      <c r="F44" s="110" t="s">
        <v>443</v>
      </c>
      <c r="G44" s="113" t="s">
        <v>534</v>
      </c>
      <c r="H44" s="113">
        <v>0.9</v>
      </c>
      <c r="I44" s="113">
        <v>0</v>
      </c>
      <c r="J44" s="110" t="s">
        <v>535</v>
      </c>
      <c r="K44" s="110" t="s">
        <v>536</v>
      </c>
      <c r="L44" s="110" t="s">
        <v>537</v>
      </c>
    </row>
    <row r="51" ht="14.4" customHeight="1" x14ac:dyDescent="0.25"/>
    <row r="59" ht="14.4" customHeight="1" x14ac:dyDescent="0.25"/>
    <row r="67" ht="14.4" customHeight="1" x14ac:dyDescent="0.25"/>
    <row r="81" ht="14.4" customHeight="1" x14ac:dyDescent="0.25"/>
    <row r="85" ht="14.4" customHeight="1" x14ac:dyDescent="0.25"/>
    <row r="88" ht="14.4" customHeight="1" x14ac:dyDescent="0.25"/>
    <row r="99" ht="14.4" customHeight="1" x14ac:dyDescent="0.25"/>
    <row r="111" ht="14.4" customHeight="1" x14ac:dyDescent="0.25"/>
    <row r="116" ht="14.4" customHeight="1" x14ac:dyDescent="0.25"/>
    <row r="124" ht="14.4" customHeight="1" x14ac:dyDescent="0.25"/>
    <row r="128" ht="14.4" customHeight="1" x14ac:dyDescent="0.25"/>
    <row r="144" ht="14.4" customHeight="1" x14ac:dyDescent="0.25"/>
    <row r="156" ht="14.4" customHeight="1" x14ac:dyDescent="0.25"/>
    <row r="159" ht="14.4" customHeight="1" x14ac:dyDescent="0.25"/>
    <row r="164" ht="14.4" customHeight="1" x14ac:dyDescent="0.25"/>
    <row r="171" ht="14.4" customHeight="1" x14ac:dyDescent="0.25"/>
    <row r="175" ht="14.4" customHeight="1" x14ac:dyDescent="0.25"/>
    <row r="182" ht="14.4" customHeight="1" x14ac:dyDescent="0.25"/>
    <row r="189" ht="14.4" customHeight="1" x14ac:dyDescent="0.25"/>
    <row r="196" ht="14.4" customHeight="1" x14ac:dyDescent="0.25"/>
    <row r="204" ht="14.4" customHeight="1" x14ac:dyDescent="0.25"/>
    <row r="214" ht="14.4" customHeight="1" x14ac:dyDescent="0.25"/>
    <row r="218" ht="14.4" customHeight="1" x14ac:dyDescent="0.25"/>
    <row r="222" ht="14.4" customHeight="1" x14ac:dyDescent="0.25"/>
    <row r="226" ht="14.4" customHeight="1" x14ac:dyDescent="0.25"/>
    <row r="247" ht="14.4" customHeight="1" x14ac:dyDescent="0.25"/>
    <row r="265" ht="14.4" customHeight="1" x14ac:dyDescent="0.25"/>
    <row r="272" ht="14.4" customHeight="1" x14ac:dyDescent="0.25"/>
    <row r="275" ht="14.4" customHeight="1" x14ac:dyDescent="0.25"/>
    <row r="278" ht="14.4" customHeight="1" x14ac:dyDescent="0.25"/>
    <row r="289" ht="14.4" customHeight="1" x14ac:dyDescent="0.25"/>
    <row r="294" ht="14.4" customHeight="1" x14ac:dyDescent="0.25"/>
    <row r="298" ht="14.4" customHeight="1" x14ac:dyDescent="0.25"/>
    <row r="300" ht="14.4" customHeight="1" x14ac:dyDescent="0.25"/>
    <row r="308" ht="14.4" customHeight="1" x14ac:dyDescent="0.25"/>
    <row r="316" ht="14.4" customHeight="1" x14ac:dyDescent="0.25"/>
    <row r="319" ht="14.4" customHeight="1" x14ac:dyDescent="0.25"/>
    <row r="321" ht="14.4" customHeight="1" x14ac:dyDescent="0.25"/>
    <row r="329" ht="14.4" customHeight="1" x14ac:dyDescent="0.25"/>
    <row r="336" ht="14.4" customHeight="1" x14ac:dyDescent="0.25"/>
    <row r="341" ht="14.4" customHeight="1" x14ac:dyDescent="0.25"/>
    <row r="344" ht="14.4" customHeight="1" x14ac:dyDescent="0.25"/>
    <row r="350" ht="14.4" customHeight="1" x14ac:dyDescent="0.25"/>
    <row r="358" ht="14.4" customHeight="1" x14ac:dyDescent="0.25"/>
    <row r="360" ht="14.4" customHeight="1" x14ac:dyDescent="0.25"/>
    <row r="374" ht="14.4" customHeight="1" x14ac:dyDescent="0.25"/>
    <row r="386" ht="14.4" customHeight="1" x14ac:dyDescent="0.25"/>
    <row r="392" ht="14.4" customHeight="1" x14ac:dyDescent="0.25"/>
    <row r="403" ht="14.4" customHeight="1" x14ac:dyDescent="0.25"/>
    <row r="405" ht="14.4" customHeight="1" x14ac:dyDescent="0.25"/>
    <row r="412" ht="14.4" customHeight="1" x14ac:dyDescent="0.25"/>
    <row r="422" ht="14.4" customHeight="1" x14ac:dyDescent="0.25"/>
    <row r="428" ht="14.4" customHeight="1" x14ac:dyDescent="0.25"/>
    <row r="432" ht="14.4" customHeight="1" x14ac:dyDescent="0.25"/>
    <row r="435" ht="14.4" customHeight="1" x14ac:dyDescent="0.25"/>
    <row r="449" ht="14.4" customHeight="1" x14ac:dyDescent="0.25"/>
    <row r="452" ht="14.4" customHeight="1" x14ac:dyDescent="0.25"/>
    <row r="458" ht="14.4" customHeight="1" x14ac:dyDescent="0.25"/>
  </sheetData>
  <phoneticPr fontId="6"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19"/>
  <sheetViews>
    <sheetView zoomScale="85" zoomScaleNormal="85" workbookViewId="0">
      <selection activeCell="L20" sqref="L20"/>
    </sheetView>
  </sheetViews>
  <sheetFormatPr defaultColWidth="8.88671875" defaultRowHeight="13.8" x14ac:dyDescent="0.25"/>
  <cols>
    <col min="1" max="1" width="8.88671875" style="150" customWidth="1"/>
    <col min="2" max="2" width="8.88671875" style="150"/>
    <col min="3" max="3" width="17.21875" style="150" bestFit="1" customWidth="1"/>
    <col min="4" max="4" width="9.77734375" style="150" customWidth="1"/>
    <col min="5" max="5" width="40.6640625" style="150" customWidth="1"/>
    <col min="6" max="6" width="27.33203125" style="150" customWidth="1"/>
    <col min="7" max="7" width="20.44140625" style="150" customWidth="1"/>
    <col min="8" max="16384" width="8.88671875" style="150"/>
  </cols>
  <sheetData>
    <row r="1" spans="1:11" x14ac:dyDescent="0.25">
      <c r="A1" s="150" t="s">
        <v>552</v>
      </c>
      <c r="B1" s="150" t="s">
        <v>553</v>
      </c>
      <c r="C1" s="150" t="s">
        <v>554</v>
      </c>
      <c r="D1" s="150" t="s">
        <v>555</v>
      </c>
      <c r="E1" s="150" t="s">
        <v>381</v>
      </c>
      <c r="F1" s="150" t="s">
        <v>556</v>
      </c>
      <c r="G1" s="151" t="s">
        <v>383</v>
      </c>
    </row>
    <row r="2" spans="1:11" s="152" customFormat="1" ht="15.6" x14ac:dyDescent="0.25">
      <c r="A2" s="152" t="s">
        <v>409</v>
      </c>
      <c r="B2" s="152" t="s">
        <v>403</v>
      </c>
      <c r="C2" s="153" t="s">
        <v>557</v>
      </c>
      <c r="D2" s="154">
        <v>0.05</v>
      </c>
      <c r="E2" s="156" t="s">
        <v>558</v>
      </c>
      <c r="F2" s="156" t="s">
        <v>559</v>
      </c>
      <c r="G2" s="156" t="s">
        <v>560</v>
      </c>
      <c r="I2" s="151"/>
      <c r="J2" s="151"/>
      <c r="K2" s="160"/>
    </row>
    <row r="3" spans="1:11" s="152" customFormat="1" ht="15.6" x14ac:dyDescent="0.25">
      <c r="A3" s="152" t="s">
        <v>561</v>
      </c>
      <c r="B3" s="152" t="s">
        <v>562</v>
      </c>
      <c r="C3" s="153" t="s">
        <v>557</v>
      </c>
      <c r="D3" s="154">
        <v>0.05</v>
      </c>
      <c r="E3" s="156" t="s">
        <v>558</v>
      </c>
      <c r="F3" s="156" t="s">
        <v>559</v>
      </c>
      <c r="G3" s="156" t="s">
        <v>560</v>
      </c>
      <c r="K3" s="156"/>
    </row>
    <row r="4" spans="1:11" s="152" customFormat="1" ht="15.6" x14ac:dyDescent="0.25">
      <c r="A4" s="152" t="s">
        <v>563</v>
      </c>
      <c r="B4" s="152" t="s">
        <v>564</v>
      </c>
      <c r="C4" s="153" t="s">
        <v>557</v>
      </c>
      <c r="D4" s="154">
        <v>0.05</v>
      </c>
      <c r="E4" s="156" t="s">
        <v>558</v>
      </c>
      <c r="F4" s="156" t="s">
        <v>559</v>
      </c>
      <c r="G4" s="156" t="s">
        <v>560</v>
      </c>
    </row>
    <row r="5" spans="1:11" s="152" customFormat="1" ht="15.6" x14ac:dyDescent="0.25">
      <c r="B5" s="152" t="s">
        <v>565</v>
      </c>
      <c r="C5" s="153" t="s">
        <v>557</v>
      </c>
      <c r="D5" s="154">
        <v>0.05</v>
      </c>
      <c r="E5" s="156" t="s">
        <v>558</v>
      </c>
      <c r="F5" s="156" t="s">
        <v>559</v>
      </c>
      <c r="G5" s="156" t="s">
        <v>560</v>
      </c>
    </row>
    <row r="6" spans="1:11" ht="15.6" x14ac:dyDescent="0.25">
      <c r="A6" s="157"/>
      <c r="B6" s="152" t="s">
        <v>566</v>
      </c>
      <c r="C6" s="153" t="s">
        <v>557</v>
      </c>
      <c r="D6" s="154">
        <v>0.05</v>
      </c>
      <c r="E6" s="156" t="s">
        <v>558</v>
      </c>
      <c r="F6" s="156" t="s">
        <v>559</v>
      </c>
      <c r="G6" s="156" t="s">
        <v>560</v>
      </c>
    </row>
    <row r="7" spans="1:11" ht="15.6" x14ac:dyDescent="0.25">
      <c r="A7" s="157"/>
      <c r="B7" s="152" t="s">
        <v>567</v>
      </c>
      <c r="C7" s="153" t="s">
        <v>557</v>
      </c>
      <c r="D7" s="154">
        <v>0.05</v>
      </c>
      <c r="E7" s="156" t="s">
        <v>558</v>
      </c>
      <c r="F7" s="156" t="s">
        <v>559</v>
      </c>
      <c r="G7" s="156" t="s">
        <v>560</v>
      </c>
    </row>
    <row r="8" spans="1:11" ht="15.6" x14ac:dyDescent="0.25">
      <c r="A8" s="157"/>
      <c r="B8" s="152" t="s">
        <v>568</v>
      </c>
      <c r="C8" s="153" t="s">
        <v>557</v>
      </c>
      <c r="D8" s="154">
        <v>0.05</v>
      </c>
      <c r="E8" s="156" t="s">
        <v>558</v>
      </c>
      <c r="F8" s="156" t="s">
        <v>559</v>
      </c>
      <c r="G8" s="156" t="s">
        <v>560</v>
      </c>
    </row>
    <row r="9" spans="1:11" ht="15.6" x14ac:dyDescent="0.25">
      <c r="A9" s="150" t="s">
        <v>569</v>
      </c>
      <c r="B9" s="150" t="s">
        <v>419</v>
      </c>
      <c r="C9" s="158" t="s">
        <v>570</v>
      </c>
      <c r="D9" s="150">
        <v>0</v>
      </c>
      <c r="E9" s="156" t="s">
        <v>571</v>
      </c>
      <c r="F9" s="156" t="s">
        <v>572</v>
      </c>
      <c r="G9" s="156" t="s">
        <v>560</v>
      </c>
    </row>
    <row r="10" spans="1:11" ht="15.6" x14ac:dyDescent="0.25">
      <c r="A10" s="150" t="s">
        <v>418</v>
      </c>
      <c r="B10" s="152" t="s">
        <v>403</v>
      </c>
      <c r="C10" s="150" t="s">
        <v>573</v>
      </c>
      <c r="D10" s="150">
        <v>0</v>
      </c>
      <c r="E10" s="156" t="s">
        <v>574</v>
      </c>
      <c r="F10" s="156" t="s">
        <v>575</v>
      </c>
      <c r="G10" s="156" t="s">
        <v>560</v>
      </c>
    </row>
    <row r="11" spans="1:11" ht="15.6" x14ac:dyDescent="0.25">
      <c r="A11" s="152" t="s">
        <v>409</v>
      </c>
      <c r="B11" s="152" t="s">
        <v>403</v>
      </c>
      <c r="C11" s="150" t="s">
        <v>573</v>
      </c>
      <c r="D11" s="150">
        <v>0</v>
      </c>
      <c r="E11" s="156" t="s">
        <v>574</v>
      </c>
      <c r="F11" s="156" t="s">
        <v>575</v>
      </c>
      <c r="G11" s="156" t="s">
        <v>560</v>
      </c>
    </row>
    <row r="12" spans="1:11" ht="15.6" x14ac:dyDescent="0.25">
      <c r="A12" s="152" t="s">
        <v>561</v>
      </c>
      <c r="B12" s="152" t="s">
        <v>403</v>
      </c>
      <c r="C12" s="150" t="s">
        <v>573</v>
      </c>
      <c r="D12" s="150">
        <v>0</v>
      </c>
      <c r="E12" s="156" t="s">
        <v>574</v>
      </c>
      <c r="F12" s="156" t="s">
        <v>575</v>
      </c>
      <c r="G12" s="156" t="s">
        <v>560</v>
      </c>
    </row>
    <row r="13" spans="1:11" ht="15.6" x14ac:dyDescent="0.25">
      <c r="A13" s="152" t="s">
        <v>563</v>
      </c>
      <c r="B13" s="152" t="s">
        <v>403</v>
      </c>
      <c r="C13" s="150" t="s">
        <v>573</v>
      </c>
      <c r="D13" s="150">
        <v>0</v>
      </c>
      <c r="E13" s="156" t="s">
        <v>574</v>
      </c>
      <c r="F13" s="156" t="s">
        <v>575</v>
      </c>
      <c r="G13" s="156" t="s">
        <v>560</v>
      </c>
    </row>
    <row r="14" spans="1:11" ht="15.6" x14ac:dyDescent="0.25">
      <c r="A14" s="152" t="s">
        <v>418</v>
      </c>
      <c r="B14" s="152" t="s">
        <v>419</v>
      </c>
      <c r="C14" s="158" t="s">
        <v>570</v>
      </c>
      <c r="D14" s="150">
        <v>0</v>
      </c>
      <c r="E14" s="156" t="s">
        <v>576</v>
      </c>
      <c r="F14" s="156" t="s">
        <v>572</v>
      </c>
      <c r="G14" s="156" t="s">
        <v>560</v>
      </c>
    </row>
    <row r="15" spans="1:11" ht="15.6" x14ac:dyDescent="0.25">
      <c r="A15" s="152" t="s">
        <v>425</v>
      </c>
      <c r="B15" s="152" t="s">
        <v>426</v>
      </c>
      <c r="C15" s="158" t="s">
        <v>570</v>
      </c>
      <c r="D15" s="150">
        <v>0</v>
      </c>
      <c r="E15" s="156" t="s">
        <v>576</v>
      </c>
      <c r="F15" s="156" t="s">
        <v>572</v>
      </c>
      <c r="G15" s="156" t="s">
        <v>560</v>
      </c>
    </row>
    <row r="16" spans="1:11" ht="15.6" x14ac:dyDescent="0.25">
      <c r="A16" s="152"/>
      <c r="B16" s="152" t="s">
        <v>427</v>
      </c>
      <c r="C16" s="158" t="s">
        <v>570</v>
      </c>
      <c r="D16" s="150">
        <v>0</v>
      </c>
      <c r="E16" s="156" t="s">
        <v>576</v>
      </c>
      <c r="F16" s="156" t="s">
        <v>572</v>
      </c>
      <c r="G16" s="156" t="s">
        <v>560</v>
      </c>
    </row>
    <row r="17" spans="1:7" ht="15.6" x14ac:dyDescent="0.25">
      <c r="A17" s="152" t="s">
        <v>430</v>
      </c>
      <c r="B17" s="152" t="s">
        <v>577</v>
      </c>
      <c r="C17" s="159" t="s">
        <v>578</v>
      </c>
      <c r="D17" s="154">
        <v>0.1</v>
      </c>
      <c r="E17" s="156" t="s">
        <v>579</v>
      </c>
      <c r="F17" s="156" t="s">
        <v>580</v>
      </c>
      <c r="G17" s="156" t="s">
        <v>581</v>
      </c>
    </row>
    <row r="18" spans="1:7" ht="15.6" x14ac:dyDescent="0.25">
      <c r="A18" s="152" t="s">
        <v>439</v>
      </c>
      <c r="B18" s="152" t="s">
        <v>440</v>
      </c>
      <c r="C18" s="159" t="s">
        <v>578</v>
      </c>
      <c r="D18" s="154">
        <v>0.1</v>
      </c>
      <c r="E18" s="156" t="s">
        <v>579</v>
      </c>
      <c r="F18" s="156" t="s">
        <v>580</v>
      </c>
      <c r="G18" s="156" t="s">
        <v>581</v>
      </c>
    </row>
    <row r="19" spans="1:7" ht="15.6" x14ac:dyDescent="0.25">
      <c r="F19" s="155"/>
    </row>
  </sheetData>
  <phoneticPr fontId="6" type="noConversion"/>
  <pageMargins left="0.69930555555555596" right="0.69930555555555596"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
  <sheetViews>
    <sheetView zoomScale="143" zoomScaleNormal="143" zoomScalePageLayoutView="143" workbookViewId="0">
      <selection activeCell="B2" sqref="B2"/>
    </sheetView>
  </sheetViews>
  <sheetFormatPr defaultColWidth="8.88671875" defaultRowHeight="13.8" x14ac:dyDescent="0.25"/>
  <cols>
    <col min="1" max="1" width="8.88671875" style="24"/>
    <col min="2" max="2" width="21.88671875" style="24" customWidth="1"/>
    <col min="3" max="3" width="38.6640625" style="24" customWidth="1"/>
    <col min="4" max="4" width="55.109375" style="24" customWidth="1"/>
    <col min="5" max="16384" width="8.88671875" style="24"/>
  </cols>
  <sheetData>
    <row r="1" spans="1:4" ht="118.8" x14ac:dyDescent="0.25">
      <c r="A1" s="25" t="s">
        <v>19</v>
      </c>
      <c r="B1" s="28" t="s">
        <v>320</v>
      </c>
      <c r="C1" s="26" t="s">
        <v>30</v>
      </c>
      <c r="D1" s="27" t="str">
        <f>"经三级化粪处理后执行广东省地方标准《水污染物排放限值》（DB44/26-2001）第二时段三级标准：COD 500mg/L、BOD5 300mg/L、SS 400mg/L，等等；达标后排入" &amp;信息!B34 &amp; "污水处理厂处理。" &amp; "
根据2013年7月11日颁布的《顺德区环境运输和城市管理局关于全区城镇污水处理厂尾水排放执行标准的通知》规定"&amp;"：污水处理厂的尾水COD、氨氮执行《城镇污水处理厂污染物排放标准》（GB18918-2002）一级B标准及《水污染物排放限值》（DB44/26-2001）第二时段一级标准的较严者，其它指标现执行《城镇污水处理厂污染物排放标准》（GB18918-2002）一级B标准"&amp;"：即CODcr 40mg/L，BOD5 20mg/L，NH3-N 8mg/L，SS 20mg/L，总磷1mg/L，动植物油3mg/L，LAS 1mg/L"</f>
        <v>经三级化粪处理后执行广东省地方标准《水污染物排放限值》（DB44/26-2001）第二时段三级标准：COD 500mg/L、BOD5 300mg/L、SS 400mg/L，等等；达标后排入污水处理厂处理。
根据2013年7月11日颁布的《顺德区环境运输和城市管理局关于全区城镇污水处理厂尾水排放执行标准的通知》规定：污水处理厂的尾水COD、氨氮执行《城镇污水处理厂污染物排放标准》（GB18918-2002）一级B标准及《水污染物排放限值》（DB44/26-2001）第二时段一级标准的较严者，其它指标现执行《城镇污水处理厂污染物排放标准》（GB18918-2002）一级B标准：即CODcr 40mg/L，BOD5 20mg/L，NH3-N 8mg/L，SS 20mg/L，总磷1mg/L，动植物油3mg/L，LAS 1mg/L</v>
      </c>
    </row>
    <row r="2" spans="1:4" ht="33.6" x14ac:dyDescent="0.25">
      <c r="A2" s="2" t="s">
        <v>18</v>
      </c>
      <c r="B2" s="5" t="s">
        <v>15</v>
      </c>
      <c r="C2" s="3" t="s">
        <v>16</v>
      </c>
      <c r="D2" s="6" t="s">
        <v>17</v>
      </c>
    </row>
  </sheetData>
  <phoneticPr fontId="6" type="noConversion"/>
  <dataValidations count="1">
    <dataValidation type="list" allowBlank="1" showInputMessage="1" showErrorMessage="1" sqref="A2">
      <formula1>"是,否"</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3"/>
  <sheetViews>
    <sheetView workbookViewId="0">
      <selection activeCell="P32" sqref="P32"/>
    </sheetView>
  </sheetViews>
  <sheetFormatPr defaultColWidth="8.88671875" defaultRowHeight="13.8" x14ac:dyDescent="0.25"/>
  <cols>
    <col min="1" max="1" width="17.6640625" style="7" customWidth="1"/>
    <col min="2" max="5" width="8.88671875" style="7"/>
    <col min="6" max="6" width="15.109375" style="7" customWidth="1"/>
    <col min="7" max="16384" width="8.88671875" style="7"/>
  </cols>
  <sheetData>
    <row r="1" spans="1:5" ht="38.4" x14ac:dyDescent="0.25">
      <c r="A1" s="10" t="s">
        <v>4</v>
      </c>
      <c r="B1" s="11" t="s">
        <v>25</v>
      </c>
      <c r="C1" s="11" t="s">
        <v>26</v>
      </c>
      <c r="D1" s="11" t="s">
        <v>27</v>
      </c>
      <c r="E1" s="14" t="s">
        <v>3</v>
      </c>
    </row>
    <row r="2" spans="1:5" x14ac:dyDescent="0.25">
      <c r="A2" s="8" t="s">
        <v>20</v>
      </c>
      <c r="B2" s="29" t="s">
        <v>21</v>
      </c>
      <c r="C2" s="29" t="s">
        <v>21</v>
      </c>
      <c r="D2" s="29" t="s">
        <v>21</v>
      </c>
      <c r="E2" s="14"/>
    </row>
    <row r="3" spans="1:5" x14ac:dyDescent="0.25">
      <c r="A3" s="8" t="s">
        <v>2</v>
      </c>
      <c r="B3" s="8">
        <v>15</v>
      </c>
      <c r="C3" s="8">
        <v>20</v>
      </c>
      <c r="D3" s="8">
        <v>30</v>
      </c>
      <c r="E3" s="13"/>
    </row>
    <row r="4" spans="1:5" ht="15.6" x14ac:dyDescent="0.25">
      <c r="A4" s="8" t="s">
        <v>1</v>
      </c>
      <c r="B4" s="8">
        <v>3</v>
      </c>
      <c r="C4" s="8">
        <v>4</v>
      </c>
      <c r="D4" s="8">
        <v>6</v>
      </c>
      <c r="E4" s="9"/>
    </row>
    <row r="5" spans="1:5" ht="15.6" x14ac:dyDescent="0.25">
      <c r="A5" s="8" t="s">
        <v>0</v>
      </c>
      <c r="B5" s="8">
        <v>0.5</v>
      </c>
      <c r="C5" s="8">
        <v>1</v>
      </c>
      <c r="D5" s="8">
        <v>1.5</v>
      </c>
      <c r="E5" s="9"/>
    </row>
    <row r="6" spans="1:5" x14ac:dyDescent="0.25">
      <c r="A6" s="47" t="s">
        <v>105</v>
      </c>
      <c r="B6" s="46">
        <v>6</v>
      </c>
      <c r="C6" s="46">
        <v>5</v>
      </c>
      <c r="D6" s="47">
        <v>3</v>
      </c>
    </row>
    <row r="7" spans="1:5" x14ac:dyDescent="0.25">
      <c r="A7" s="46" t="s">
        <v>103</v>
      </c>
      <c r="B7" s="47">
        <v>0.2</v>
      </c>
      <c r="C7" s="46">
        <v>0.2</v>
      </c>
      <c r="D7" s="47">
        <v>0.3</v>
      </c>
      <c r="E7" s="9"/>
    </row>
    <row r="8" spans="1:5" x14ac:dyDescent="0.25">
      <c r="A8" s="47" t="s">
        <v>104</v>
      </c>
      <c r="B8" s="46">
        <v>2000</v>
      </c>
      <c r="C8" s="46">
        <v>10000</v>
      </c>
      <c r="D8" s="47">
        <v>20000</v>
      </c>
    </row>
    <row r="9" spans="1:5" x14ac:dyDescent="0.25">
      <c r="A9" s="12"/>
      <c r="B9" s="11"/>
      <c r="C9" s="8"/>
    </row>
    <row r="10" spans="1:5" x14ac:dyDescent="0.25">
      <c r="A10" s="10"/>
      <c r="C10" s="8"/>
    </row>
    <row r="11" spans="1:5" x14ac:dyDescent="0.25">
      <c r="B11" s="9"/>
      <c r="C11" s="8"/>
    </row>
    <row r="12" spans="1:5" x14ac:dyDescent="0.25">
      <c r="B12" s="9"/>
      <c r="C12" s="8"/>
    </row>
    <row r="13" spans="1:5" x14ac:dyDescent="0.25">
      <c r="B13" s="9"/>
      <c r="C13" s="8"/>
    </row>
  </sheetData>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11"/>
  <sheetViews>
    <sheetView workbookViewId="0">
      <selection activeCell="A12" sqref="A12"/>
    </sheetView>
  </sheetViews>
  <sheetFormatPr defaultRowHeight="13.8" x14ac:dyDescent="0.25"/>
  <cols>
    <col min="1" max="1" width="11" bestFit="1" customWidth="1"/>
    <col min="2" max="2" width="15.109375" bestFit="1" customWidth="1"/>
    <col min="3" max="3" width="10" bestFit="1" customWidth="1"/>
    <col min="4" max="4" width="19.21875" bestFit="1" customWidth="1"/>
    <col min="5" max="5" width="11" bestFit="1" customWidth="1"/>
    <col min="6" max="6" width="15.109375" bestFit="1" customWidth="1"/>
    <col min="7" max="7" width="16" customWidth="1"/>
  </cols>
  <sheetData>
    <row r="1" spans="1:7" x14ac:dyDescent="0.25">
      <c r="A1" t="s">
        <v>165</v>
      </c>
      <c r="B1" t="s">
        <v>158</v>
      </c>
      <c r="C1" t="s">
        <v>159</v>
      </c>
      <c r="D1" t="s">
        <v>160</v>
      </c>
      <c r="E1" t="s">
        <v>147</v>
      </c>
      <c r="F1" t="s">
        <v>148</v>
      </c>
      <c r="G1" t="s">
        <v>307</v>
      </c>
    </row>
    <row r="2" spans="1:7" x14ac:dyDescent="0.25">
      <c r="A2" t="str">
        <f>B2&amp;C2&amp;D2</f>
        <v>是北滘无</v>
      </c>
      <c r="B2" t="s">
        <v>157</v>
      </c>
      <c r="C2" t="s">
        <v>149</v>
      </c>
      <c r="D2" t="s">
        <v>164</v>
      </c>
      <c r="E2" t="s">
        <v>150</v>
      </c>
      <c r="F2" s="11" t="s">
        <v>26</v>
      </c>
      <c r="G2" t="s">
        <v>308</v>
      </c>
    </row>
    <row r="3" spans="1:7" x14ac:dyDescent="0.25">
      <c r="A3" t="str">
        <f t="shared" ref="A3:A11" si="0">B3&amp;C3&amp;D3</f>
        <v>是大良大门</v>
      </c>
      <c r="B3" t="s">
        <v>157</v>
      </c>
      <c r="C3" t="s">
        <v>161</v>
      </c>
      <c r="D3" t="s">
        <v>162</v>
      </c>
      <c r="E3" t="s">
        <v>151</v>
      </c>
      <c r="F3" s="11" t="s">
        <v>26</v>
      </c>
      <c r="G3" t="s">
        <v>308</v>
      </c>
    </row>
    <row r="4" spans="1:7" x14ac:dyDescent="0.25">
      <c r="A4" t="str">
        <f t="shared" si="0"/>
        <v>是大良逢沙</v>
      </c>
      <c r="B4" t="s">
        <v>157</v>
      </c>
      <c r="C4" t="s">
        <v>161</v>
      </c>
      <c r="D4" t="s">
        <v>163</v>
      </c>
      <c r="E4" t="s">
        <v>152</v>
      </c>
      <c r="F4" s="11" t="s">
        <v>26</v>
      </c>
      <c r="G4" t="s">
        <v>308</v>
      </c>
    </row>
    <row r="5" spans="1:7" x14ac:dyDescent="0.25">
      <c r="A5" t="str">
        <f t="shared" si="0"/>
        <v>是均安无</v>
      </c>
      <c r="B5" t="s">
        <v>157</v>
      </c>
      <c r="C5" t="s">
        <v>44</v>
      </c>
      <c r="D5" t="s">
        <v>164</v>
      </c>
      <c r="E5" t="s">
        <v>153</v>
      </c>
      <c r="F5" s="11" t="s">
        <v>26</v>
      </c>
      <c r="G5" t="s">
        <v>308</v>
      </c>
    </row>
    <row r="6" spans="1:7" x14ac:dyDescent="0.25">
      <c r="A6" t="str">
        <f t="shared" si="0"/>
        <v>是乐从无</v>
      </c>
      <c r="B6" t="s">
        <v>157</v>
      </c>
      <c r="C6" t="s">
        <v>45</v>
      </c>
      <c r="D6" t="s">
        <v>164</v>
      </c>
      <c r="E6" t="s">
        <v>154</v>
      </c>
      <c r="F6" s="11" t="s">
        <v>27</v>
      </c>
      <c r="G6" t="s">
        <v>309</v>
      </c>
    </row>
    <row r="7" spans="1:7" x14ac:dyDescent="0.25">
      <c r="A7" t="str">
        <f t="shared" si="0"/>
        <v>是勒流无</v>
      </c>
      <c r="B7" t="s">
        <v>157</v>
      </c>
      <c r="C7" t="s">
        <v>46</v>
      </c>
      <c r="D7" t="s">
        <v>164</v>
      </c>
      <c r="E7" t="s">
        <v>151</v>
      </c>
      <c r="F7" s="11" t="s">
        <v>26</v>
      </c>
      <c r="G7" t="s">
        <v>308</v>
      </c>
    </row>
    <row r="8" spans="1:7" x14ac:dyDescent="0.25">
      <c r="A8" t="str">
        <f t="shared" si="0"/>
        <v>是龙江无</v>
      </c>
      <c r="B8" t="s">
        <v>157</v>
      </c>
      <c r="C8" t="s">
        <v>47</v>
      </c>
      <c r="D8" t="s">
        <v>164</v>
      </c>
      <c r="E8" t="s">
        <v>154</v>
      </c>
      <c r="F8" s="11" t="s">
        <v>313</v>
      </c>
      <c r="G8" t="s">
        <v>309</v>
      </c>
    </row>
    <row r="9" spans="1:7" x14ac:dyDescent="0.25">
      <c r="A9" t="str">
        <f t="shared" si="0"/>
        <v>是伦教无</v>
      </c>
      <c r="B9" t="s">
        <v>157</v>
      </c>
      <c r="C9" t="s">
        <v>48</v>
      </c>
      <c r="D9" t="s">
        <v>164</v>
      </c>
      <c r="E9" t="s">
        <v>152</v>
      </c>
      <c r="F9" s="11" t="s">
        <v>26</v>
      </c>
      <c r="G9" t="s">
        <v>308</v>
      </c>
    </row>
    <row r="10" spans="1:7" x14ac:dyDescent="0.25">
      <c r="A10" t="str">
        <f t="shared" si="0"/>
        <v>是容桂无</v>
      </c>
      <c r="B10" t="s">
        <v>157</v>
      </c>
      <c r="C10" t="s">
        <v>49</v>
      </c>
      <c r="D10" t="s">
        <v>164</v>
      </c>
      <c r="E10" t="s">
        <v>155</v>
      </c>
      <c r="F10" s="11" t="s">
        <v>27</v>
      </c>
      <c r="G10" t="s">
        <v>309</v>
      </c>
    </row>
    <row r="11" spans="1:7" x14ac:dyDescent="0.25">
      <c r="A11" t="str">
        <f t="shared" si="0"/>
        <v>是杏坛无</v>
      </c>
      <c r="B11" t="s">
        <v>157</v>
      </c>
      <c r="C11" t="s">
        <v>156</v>
      </c>
      <c r="D11" t="s">
        <v>164</v>
      </c>
      <c r="E11" t="s">
        <v>151</v>
      </c>
      <c r="F11" s="11" t="s">
        <v>26</v>
      </c>
      <c r="G11" t="s">
        <v>308</v>
      </c>
    </row>
  </sheetData>
  <phoneticPr fontId="6"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6"/>
  <sheetViews>
    <sheetView workbookViewId="0">
      <selection activeCell="J29" sqref="J29"/>
    </sheetView>
  </sheetViews>
  <sheetFormatPr defaultColWidth="8.88671875" defaultRowHeight="13.8" x14ac:dyDescent="0.25"/>
  <cols>
    <col min="1" max="16384" width="8.88671875" style="7"/>
  </cols>
  <sheetData>
    <row r="1" spans="1:8" ht="62.4" x14ac:dyDescent="0.25">
      <c r="A1" s="17" t="s">
        <v>8</v>
      </c>
      <c r="B1" s="11" t="s">
        <v>90</v>
      </c>
      <c r="C1" s="11" t="s">
        <v>25</v>
      </c>
      <c r="D1" s="11" t="s">
        <v>26</v>
      </c>
      <c r="E1" s="11" t="s">
        <v>27</v>
      </c>
      <c r="F1" s="11" t="s">
        <v>28</v>
      </c>
      <c r="G1" s="14" t="s">
        <v>7</v>
      </c>
      <c r="H1" s="19"/>
    </row>
    <row r="2" spans="1:8" x14ac:dyDescent="0.25">
      <c r="A2" s="8" t="s">
        <v>22</v>
      </c>
      <c r="B2" s="8" t="s">
        <v>23</v>
      </c>
      <c r="C2" s="8" t="s">
        <v>23</v>
      </c>
      <c r="D2" s="8" t="s">
        <v>23</v>
      </c>
      <c r="E2" s="8" t="s">
        <v>24</v>
      </c>
      <c r="F2" s="8" t="s">
        <v>51</v>
      </c>
    </row>
    <row r="3" spans="1:8" ht="24" x14ac:dyDescent="0.25">
      <c r="A3" s="15" t="s">
        <v>6</v>
      </c>
      <c r="B3" s="18" t="s">
        <v>58</v>
      </c>
      <c r="C3" s="8" t="s">
        <v>56</v>
      </c>
      <c r="D3" s="8" t="s">
        <v>54</v>
      </c>
      <c r="E3" s="8" t="s">
        <v>52</v>
      </c>
      <c r="F3" s="8" t="s">
        <v>40</v>
      </c>
    </row>
    <row r="4" spans="1:8" ht="24" x14ac:dyDescent="0.25">
      <c r="A4" s="15" t="s">
        <v>5</v>
      </c>
      <c r="B4" s="8" t="s">
        <v>56</v>
      </c>
      <c r="C4" s="8" t="s">
        <v>57</v>
      </c>
      <c r="D4" s="8" t="s">
        <v>55</v>
      </c>
      <c r="E4" s="8" t="s">
        <v>53</v>
      </c>
      <c r="F4" s="8" t="s">
        <v>41</v>
      </c>
    </row>
    <row r="5" spans="1:8" x14ac:dyDescent="0.25">
      <c r="A5" s="17"/>
      <c r="B5" s="17"/>
      <c r="D5" s="8"/>
    </row>
    <row r="6" spans="1:8" x14ac:dyDescent="0.25">
      <c r="A6" s="17"/>
      <c r="B6" s="17"/>
      <c r="C6" s="16"/>
      <c r="D6" s="15"/>
    </row>
    <row r="7" spans="1:8" x14ac:dyDescent="0.25">
      <c r="A7" s="17"/>
      <c r="B7" s="17"/>
      <c r="C7" s="16"/>
      <c r="D7" s="15"/>
    </row>
    <row r="8" spans="1:8" x14ac:dyDescent="0.25">
      <c r="A8" s="17"/>
      <c r="B8" s="17"/>
      <c r="D8" s="8"/>
    </row>
    <row r="9" spans="1:8" x14ac:dyDescent="0.25">
      <c r="A9" s="17"/>
      <c r="B9" s="17"/>
      <c r="C9" s="16"/>
      <c r="D9" s="15"/>
    </row>
    <row r="10" spans="1:8" x14ac:dyDescent="0.25">
      <c r="A10" s="17"/>
      <c r="B10" s="17"/>
      <c r="C10" s="16"/>
      <c r="D10" s="15"/>
    </row>
    <row r="11" spans="1:8" x14ac:dyDescent="0.25">
      <c r="A11" s="17"/>
      <c r="B11" s="17"/>
      <c r="D11" s="8"/>
    </row>
    <row r="12" spans="1:8" x14ac:dyDescent="0.25">
      <c r="A12" s="17"/>
      <c r="B12" s="17"/>
      <c r="C12" s="16"/>
      <c r="D12" s="15"/>
    </row>
    <row r="13" spans="1:8" x14ac:dyDescent="0.25">
      <c r="A13" s="17"/>
      <c r="B13" s="17"/>
      <c r="C13" s="16"/>
      <c r="D13" s="15"/>
    </row>
    <row r="14" spans="1:8" x14ac:dyDescent="0.25">
      <c r="A14" s="17"/>
      <c r="B14" s="17"/>
      <c r="D14" s="8"/>
    </row>
    <row r="15" spans="1:8" x14ac:dyDescent="0.25">
      <c r="A15" s="17"/>
      <c r="B15" s="17"/>
      <c r="C15" s="16"/>
      <c r="D15" s="15"/>
    </row>
    <row r="16" spans="1:8" x14ac:dyDescent="0.25">
      <c r="A16" s="17"/>
      <c r="B16" s="17"/>
      <c r="C16" s="16"/>
      <c r="D16" s="15"/>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11"/>
  <sheetViews>
    <sheetView topLeftCell="B1" workbookViewId="0">
      <selection activeCell="C27" sqref="C27"/>
    </sheetView>
  </sheetViews>
  <sheetFormatPr defaultRowHeight="13.8" x14ac:dyDescent="0.25"/>
  <cols>
    <col min="2" max="2" width="40" customWidth="1"/>
    <col min="3" max="3" width="19.6640625" customWidth="1"/>
    <col min="5" max="5" width="13.109375" bestFit="1" customWidth="1"/>
  </cols>
  <sheetData>
    <row r="1" spans="1:6" ht="27.6" thickTop="1" thickBot="1" x14ac:dyDescent="0.3">
      <c r="A1" s="35" t="s">
        <v>59</v>
      </c>
      <c r="B1" s="36" t="s">
        <v>60</v>
      </c>
      <c r="C1" s="36" t="s">
        <v>61</v>
      </c>
      <c r="D1" s="37" t="s">
        <v>91</v>
      </c>
      <c r="E1" s="36" t="s">
        <v>102</v>
      </c>
      <c r="F1" s="75" t="s">
        <v>306</v>
      </c>
    </row>
    <row r="2" spans="1:6" ht="27" thickBot="1" x14ac:dyDescent="0.3">
      <c r="A2" s="38" t="s">
        <v>59</v>
      </c>
      <c r="B2" s="39" t="s">
        <v>62</v>
      </c>
      <c r="C2" s="39" t="s">
        <v>61</v>
      </c>
      <c r="D2" s="40" t="s">
        <v>91</v>
      </c>
      <c r="E2" s="39" t="s">
        <v>311</v>
      </c>
      <c r="F2" s="1" t="s">
        <v>305</v>
      </c>
    </row>
    <row r="3" spans="1:6" ht="27.6" thickTop="1" thickBot="1" x14ac:dyDescent="0.3">
      <c r="A3" s="38" t="s">
        <v>59</v>
      </c>
      <c r="B3" s="41" t="s">
        <v>63</v>
      </c>
      <c r="C3" s="41" t="s">
        <v>64</v>
      </c>
      <c r="D3" s="42" t="s">
        <v>91</v>
      </c>
      <c r="E3" s="36" t="s">
        <v>93</v>
      </c>
    </row>
    <row r="4" spans="1:6" ht="27" thickBot="1" x14ac:dyDescent="0.3">
      <c r="A4" s="38" t="s">
        <v>59</v>
      </c>
      <c r="B4" s="39" t="s">
        <v>65</v>
      </c>
      <c r="C4" s="39" t="s">
        <v>64</v>
      </c>
      <c r="D4" s="40" t="s">
        <v>91</v>
      </c>
      <c r="E4" s="39" t="s">
        <v>94</v>
      </c>
    </row>
    <row r="5" spans="1:6" ht="27.6" thickTop="1" thickBot="1" x14ac:dyDescent="0.3">
      <c r="A5" s="38" t="s">
        <v>59</v>
      </c>
      <c r="B5" s="41" t="s">
        <v>66</v>
      </c>
      <c r="C5" s="41" t="s">
        <v>64</v>
      </c>
      <c r="D5" s="42" t="s">
        <v>91</v>
      </c>
      <c r="E5" s="36" t="s">
        <v>95</v>
      </c>
    </row>
    <row r="6" spans="1:6" ht="27" thickBot="1" x14ac:dyDescent="0.3">
      <c r="A6" s="38" t="s">
        <v>59</v>
      </c>
      <c r="B6" s="39" t="s">
        <v>67</v>
      </c>
      <c r="C6" s="39" t="s">
        <v>64</v>
      </c>
      <c r="D6" s="40" t="s">
        <v>91</v>
      </c>
      <c r="E6" s="39" t="s">
        <v>96</v>
      </c>
    </row>
    <row r="7" spans="1:6" ht="27.6" thickTop="1" thickBot="1" x14ac:dyDescent="0.3">
      <c r="A7" s="38" t="s">
        <v>59</v>
      </c>
      <c r="B7" s="41" t="s">
        <v>68</v>
      </c>
      <c r="C7" s="41" t="s">
        <v>61</v>
      </c>
      <c r="D7" s="42" t="s">
        <v>92</v>
      </c>
      <c r="E7" s="36" t="s">
        <v>97</v>
      </c>
      <c r="F7" s="1" t="s">
        <v>312</v>
      </c>
    </row>
    <row r="8" spans="1:6" ht="27" thickBot="1" x14ac:dyDescent="0.3">
      <c r="A8" s="38" t="s">
        <v>59</v>
      </c>
      <c r="B8" s="39" t="s">
        <v>69</v>
      </c>
      <c r="C8" s="39" t="s">
        <v>61</v>
      </c>
      <c r="D8" s="40" t="s">
        <v>92</v>
      </c>
      <c r="E8" s="39" t="s">
        <v>98</v>
      </c>
    </row>
    <row r="9" spans="1:6" ht="27.6" thickTop="1" thickBot="1" x14ac:dyDescent="0.3">
      <c r="A9" s="38" t="s">
        <v>59</v>
      </c>
      <c r="B9" s="41" t="s">
        <v>70</v>
      </c>
      <c r="C9" s="41" t="s">
        <v>71</v>
      </c>
      <c r="D9" s="42" t="s">
        <v>91</v>
      </c>
      <c r="E9" s="36" t="s">
        <v>99</v>
      </c>
    </row>
    <row r="10" spans="1:6" ht="27" thickBot="1" x14ac:dyDescent="0.3">
      <c r="A10" s="38" t="s">
        <v>59</v>
      </c>
      <c r="B10" s="39" t="s">
        <v>72</v>
      </c>
      <c r="C10" s="39" t="s">
        <v>71</v>
      </c>
      <c r="D10" s="40" t="s">
        <v>91</v>
      </c>
      <c r="E10" s="39" t="s">
        <v>100</v>
      </c>
    </row>
    <row r="11" spans="1:6" ht="27.6" thickTop="1" thickBot="1" x14ac:dyDescent="0.3">
      <c r="A11" s="38" t="s">
        <v>59</v>
      </c>
      <c r="B11" s="41" t="s">
        <v>73</v>
      </c>
      <c r="C11" s="41" t="s">
        <v>71</v>
      </c>
      <c r="D11" s="42" t="s">
        <v>91</v>
      </c>
      <c r="E11" s="36" t="s">
        <v>101</v>
      </c>
    </row>
  </sheetData>
  <phoneticPr fontId="6"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7"/>
  <sheetViews>
    <sheetView workbookViewId="0">
      <selection activeCell="D31" sqref="D31"/>
    </sheetView>
  </sheetViews>
  <sheetFormatPr defaultColWidth="8.88671875" defaultRowHeight="13.8" x14ac:dyDescent="0.25"/>
  <cols>
    <col min="1" max="1" width="17.44140625" style="7" customWidth="1"/>
    <col min="2" max="16384" width="8.88671875" style="7"/>
  </cols>
  <sheetData>
    <row r="1" spans="1:9" ht="28.8" x14ac:dyDescent="0.25">
      <c r="A1" s="21" t="s">
        <v>14</v>
      </c>
      <c r="B1" s="23" t="s">
        <v>329</v>
      </c>
      <c r="C1" s="23" t="s">
        <v>330</v>
      </c>
      <c r="D1" s="23" t="s">
        <v>13</v>
      </c>
      <c r="E1" s="23" t="s">
        <v>12</v>
      </c>
      <c r="F1" s="23" t="s">
        <v>331</v>
      </c>
      <c r="G1" s="23" t="s">
        <v>332</v>
      </c>
      <c r="H1" s="14" t="s">
        <v>11</v>
      </c>
      <c r="I1" s="19"/>
    </row>
    <row r="2" spans="1:9" ht="14.4" x14ac:dyDescent="0.25">
      <c r="A2" s="21" t="s">
        <v>10</v>
      </c>
      <c r="B2" s="22">
        <v>50</v>
      </c>
      <c r="C2" s="22">
        <v>55</v>
      </c>
      <c r="D2" s="22">
        <v>60</v>
      </c>
      <c r="E2" s="22">
        <v>65</v>
      </c>
      <c r="F2" s="22">
        <v>70</v>
      </c>
      <c r="G2" s="22">
        <v>70</v>
      </c>
      <c r="H2" s="20"/>
    </row>
    <row r="3" spans="1:9" ht="14.4" x14ac:dyDescent="0.25">
      <c r="A3" s="21" t="s">
        <v>9</v>
      </c>
      <c r="B3" s="22">
        <v>40</v>
      </c>
      <c r="C3" s="22">
        <v>45</v>
      </c>
      <c r="D3" s="22">
        <v>50</v>
      </c>
      <c r="E3" s="22">
        <v>55</v>
      </c>
      <c r="F3" s="22">
        <v>55</v>
      </c>
      <c r="G3" s="22">
        <v>60</v>
      </c>
      <c r="H3" s="20"/>
    </row>
    <row r="4" spans="1:9" ht="14.4" x14ac:dyDescent="0.25">
      <c r="E4" s="21"/>
      <c r="H4" s="20"/>
    </row>
    <row r="5" spans="1:9" ht="14.4" x14ac:dyDescent="0.25">
      <c r="E5" s="21"/>
      <c r="H5" s="20"/>
    </row>
    <row r="6" spans="1:9" ht="14.4" x14ac:dyDescent="0.25">
      <c r="E6" s="21"/>
      <c r="H6" s="20"/>
    </row>
    <row r="7" spans="1:9" x14ac:dyDescent="0.25">
      <c r="H7" s="20"/>
    </row>
  </sheetData>
  <phoneticPr fontId="7"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11"/>
  <sheetViews>
    <sheetView workbookViewId="0">
      <selection activeCell="A10" sqref="A1:A10"/>
    </sheetView>
  </sheetViews>
  <sheetFormatPr defaultRowHeight="13.8" x14ac:dyDescent="0.25"/>
  <sheetData>
    <row r="1" spans="1:2" ht="14.4" x14ac:dyDescent="0.25">
      <c r="A1" s="109" t="s">
        <v>322</v>
      </c>
      <c r="B1" s="109" t="s">
        <v>32</v>
      </c>
    </row>
    <row r="2" spans="1:2" ht="14.4" x14ac:dyDescent="0.25">
      <c r="A2" s="109" t="s">
        <v>323</v>
      </c>
      <c r="B2" s="109" t="s">
        <v>304</v>
      </c>
    </row>
    <row r="3" spans="1:2" ht="14.4" x14ac:dyDescent="0.25">
      <c r="A3" s="109" t="s">
        <v>325</v>
      </c>
      <c r="B3" s="109" t="s">
        <v>33</v>
      </c>
    </row>
    <row r="4" spans="1:2" ht="14.4" x14ac:dyDescent="0.25">
      <c r="A4" s="109" t="s">
        <v>326</v>
      </c>
      <c r="B4" s="109" t="s">
        <v>34</v>
      </c>
    </row>
    <row r="5" spans="1:2" ht="14.4" x14ac:dyDescent="0.25">
      <c r="A5" s="109" t="s">
        <v>327</v>
      </c>
      <c r="B5" s="109" t="s">
        <v>35</v>
      </c>
    </row>
    <row r="6" spans="1:2" ht="14.4" x14ac:dyDescent="0.25">
      <c r="A6" s="109" t="s">
        <v>328</v>
      </c>
      <c r="B6" s="109" t="s">
        <v>36</v>
      </c>
    </row>
    <row r="7" spans="1:2" ht="14.4" x14ac:dyDescent="0.25">
      <c r="A7" s="109" t="s">
        <v>314</v>
      </c>
      <c r="B7" s="109" t="s">
        <v>37</v>
      </c>
    </row>
    <row r="8" spans="1:2" ht="14.4" x14ac:dyDescent="0.25">
      <c r="A8" s="109" t="s">
        <v>321</v>
      </c>
      <c r="B8" s="109" t="s">
        <v>39</v>
      </c>
    </row>
    <row r="9" spans="1:2" ht="14.4" x14ac:dyDescent="0.25">
      <c r="A9" s="109" t="s">
        <v>324</v>
      </c>
      <c r="B9" s="109" t="s">
        <v>38</v>
      </c>
    </row>
    <row r="10" spans="1:2" ht="14.4" x14ac:dyDescent="0.25">
      <c r="A10" s="109" t="s">
        <v>369</v>
      </c>
      <c r="B10" s="109" t="s">
        <v>370</v>
      </c>
    </row>
    <row r="11" spans="1:2" ht="14.4" x14ac:dyDescent="0.25">
      <c r="B11" s="108"/>
    </row>
  </sheetData>
  <phoneticPr fontId="6"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
  <sheetViews>
    <sheetView workbookViewId="0">
      <selection activeCell="B9" sqref="B9"/>
    </sheetView>
  </sheetViews>
  <sheetFormatPr defaultRowHeight="13.8" x14ac:dyDescent="0.25"/>
  <sheetData>
    <row r="1" spans="1:2" ht="16.8" x14ac:dyDescent="0.35">
      <c r="A1" s="109" t="s">
        <v>42</v>
      </c>
      <c r="B1" s="174" t="s">
        <v>606</v>
      </c>
    </row>
    <row r="2" spans="1:2" ht="16.8" x14ac:dyDescent="0.35">
      <c r="A2" s="109" t="s">
        <v>43</v>
      </c>
      <c r="B2" s="174" t="s">
        <v>607</v>
      </c>
    </row>
    <row r="3" spans="1:2" ht="16.8" x14ac:dyDescent="0.35">
      <c r="A3" s="109" t="s">
        <v>44</v>
      </c>
      <c r="B3" s="174" t="s">
        <v>608</v>
      </c>
    </row>
    <row r="4" spans="1:2" ht="16.8" x14ac:dyDescent="0.35">
      <c r="A4" s="109" t="s">
        <v>45</v>
      </c>
      <c r="B4" s="174" t="s">
        <v>609</v>
      </c>
    </row>
    <row r="5" spans="1:2" ht="16.8" x14ac:dyDescent="0.35">
      <c r="A5" s="109" t="s">
        <v>46</v>
      </c>
      <c r="B5" s="174" t="s">
        <v>610</v>
      </c>
    </row>
    <row r="6" spans="1:2" ht="16.8" x14ac:dyDescent="0.35">
      <c r="A6" s="109" t="s">
        <v>47</v>
      </c>
      <c r="B6" s="174" t="s">
        <v>611</v>
      </c>
    </row>
    <row r="7" spans="1:2" ht="16.8" x14ac:dyDescent="0.35">
      <c r="A7" s="109" t="s">
        <v>48</v>
      </c>
      <c r="B7" s="174" t="s">
        <v>612</v>
      </c>
    </row>
    <row r="8" spans="1:2" ht="16.8" x14ac:dyDescent="0.35">
      <c r="A8" s="109" t="s">
        <v>49</v>
      </c>
      <c r="B8" s="174" t="s">
        <v>613</v>
      </c>
    </row>
    <row r="9" spans="1:2" ht="16.8" x14ac:dyDescent="0.35">
      <c r="A9" s="109" t="s">
        <v>50</v>
      </c>
      <c r="B9" s="174" t="s">
        <v>614</v>
      </c>
    </row>
    <row r="10" spans="1:2" ht="16.8" x14ac:dyDescent="0.35">
      <c r="A10" s="109" t="s">
        <v>369</v>
      </c>
      <c r="B10" s="109" t="s">
        <v>371</v>
      </c>
    </row>
  </sheetData>
  <phoneticPr fontId="6"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7"/>
  <sheetViews>
    <sheetView topLeftCell="A22" workbookViewId="0">
      <selection activeCell="G111" sqref="G111"/>
    </sheetView>
  </sheetViews>
  <sheetFormatPr defaultColWidth="9" defaultRowHeight="13.8" x14ac:dyDescent="0.25"/>
  <cols>
    <col min="1" max="1" width="38.21875" style="71" customWidth="1"/>
    <col min="2" max="16384" width="9" style="70"/>
  </cols>
  <sheetData>
    <row r="1" spans="1:2" x14ac:dyDescent="0.25">
      <c r="A1" s="71" t="s">
        <v>279</v>
      </c>
      <c r="B1" s="70">
        <v>1</v>
      </c>
    </row>
    <row r="2" spans="1:2" x14ac:dyDescent="0.25">
      <c r="A2" s="71" t="s">
        <v>278</v>
      </c>
      <c r="B2" s="70">
        <v>1</v>
      </c>
    </row>
    <row r="3" spans="1:2" x14ac:dyDescent="0.25">
      <c r="A3" s="71" t="s">
        <v>277</v>
      </c>
      <c r="B3" s="70">
        <v>1</v>
      </c>
    </row>
    <row r="4" spans="1:2" x14ac:dyDescent="0.25">
      <c r="A4" s="71" t="s">
        <v>276</v>
      </c>
      <c r="B4" s="70">
        <v>1</v>
      </c>
    </row>
    <row r="5" spans="1:2" x14ac:dyDescent="0.25">
      <c r="A5" s="71" t="s">
        <v>275</v>
      </c>
      <c r="B5" s="70">
        <v>2</v>
      </c>
    </row>
    <row r="6" spans="1:2" x14ac:dyDescent="0.25">
      <c r="A6" s="71" t="s">
        <v>274</v>
      </c>
      <c r="B6" s="70">
        <v>1</v>
      </c>
    </row>
    <row r="7" spans="1:2" x14ac:dyDescent="0.25">
      <c r="A7" s="71" t="s">
        <v>280</v>
      </c>
      <c r="B7" s="70">
        <v>1</v>
      </c>
    </row>
    <row r="8" spans="1:2" x14ac:dyDescent="0.25">
      <c r="A8" s="71" t="s">
        <v>273</v>
      </c>
      <c r="B8" s="70">
        <v>2</v>
      </c>
    </row>
    <row r="9" spans="1:2" x14ac:dyDescent="0.25">
      <c r="A9" s="71" t="s">
        <v>272</v>
      </c>
      <c r="B9" s="70">
        <v>1</v>
      </c>
    </row>
    <row r="10" spans="1:2" x14ac:dyDescent="0.25">
      <c r="A10" s="71" t="s">
        <v>271</v>
      </c>
      <c r="B10" s="70">
        <v>1</v>
      </c>
    </row>
    <row r="11" spans="1:2" x14ac:dyDescent="0.25">
      <c r="A11" s="71" t="s">
        <v>270</v>
      </c>
      <c r="B11" s="70">
        <v>12</v>
      </c>
    </row>
    <row r="12" spans="1:2" x14ac:dyDescent="0.25">
      <c r="A12" s="71" t="s">
        <v>269</v>
      </c>
      <c r="B12" s="70">
        <v>4</v>
      </c>
    </row>
    <row r="13" spans="1:2" x14ac:dyDescent="0.25">
      <c r="A13" s="71" t="s">
        <v>268</v>
      </c>
      <c r="B13" s="70">
        <v>2</v>
      </c>
    </row>
    <row r="14" spans="1:2" x14ac:dyDescent="0.25">
      <c r="A14" s="71" t="s">
        <v>267</v>
      </c>
      <c r="B14" s="70">
        <v>14</v>
      </c>
    </row>
    <row r="15" spans="1:2" x14ac:dyDescent="0.25">
      <c r="A15" s="71" t="s">
        <v>266</v>
      </c>
      <c r="B15" s="70">
        <v>2</v>
      </c>
    </row>
    <row r="16" spans="1:2" x14ac:dyDescent="0.25">
      <c r="A16" s="71" t="s">
        <v>265</v>
      </c>
      <c r="B16" s="70">
        <v>4</v>
      </c>
    </row>
    <row r="17" spans="1:2" x14ac:dyDescent="0.25">
      <c r="A17" s="71" t="s">
        <v>264</v>
      </c>
      <c r="B17" s="70">
        <v>5</v>
      </c>
    </row>
    <row r="18" spans="1:2" x14ac:dyDescent="0.25">
      <c r="A18" s="71" t="s">
        <v>263</v>
      </c>
      <c r="B18" s="70">
        <v>1</v>
      </c>
    </row>
    <row r="19" spans="1:2" x14ac:dyDescent="0.25">
      <c r="A19" s="71" t="s">
        <v>262</v>
      </c>
      <c r="B19" s="70">
        <v>1</v>
      </c>
    </row>
    <row r="20" spans="1:2" x14ac:dyDescent="0.25">
      <c r="A20" s="71" t="s">
        <v>261</v>
      </c>
      <c r="B20" s="70">
        <v>12</v>
      </c>
    </row>
    <row r="21" spans="1:2" x14ac:dyDescent="0.25">
      <c r="A21" s="71" t="s">
        <v>260</v>
      </c>
      <c r="B21" s="70">
        <v>1</v>
      </c>
    </row>
    <row r="22" spans="1:2" x14ac:dyDescent="0.25">
      <c r="A22" s="71" t="s">
        <v>259</v>
      </c>
      <c r="B22" s="70">
        <v>1</v>
      </c>
    </row>
    <row r="23" spans="1:2" x14ac:dyDescent="0.25">
      <c r="A23" s="71" t="s">
        <v>281</v>
      </c>
      <c r="B23" s="70">
        <v>1</v>
      </c>
    </row>
    <row r="24" spans="1:2" x14ac:dyDescent="0.25">
      <c r="A24" s="71" t="s">
        <v>258</v>
      </c>
      <c r="B24" s="70">
        <v>1</v>
      </c>
    </row>
    <row r="25" spans="1:2" x14ac:dyDescent="0.25">
      <c r="A25" s="71" t="s">
        <v>257</v>
      </c>
      <c r="B25" s="70">
        <v>1</v>
      </c>
    </row>
    <row r="26" spans="1:2" x14ac:dyDescent="0.25">
      <c r="A26" s="71" t="s">
        <v>282</v>
      </c>
      <c r="B26" s="70">
        <v>2</v>
      </c>
    </row>
    <row r="27" spans="1:2" x14ac:dyDescent="0.25">
      <c r="A27" s="71" t="s">
        <v>256</v>
      </c>
      <c r="B27" s="70">
        <v>1</v>
      </c>
    </row>
    <row r="28" spans="1:2" x14ac:dyDescent="0.25">
      <c r="A28" s="71" t="s">
        <v>255</v>
      </c>
      <c r="B28" s="70">
        <v>40</v>
      </c>
    </row>
    <row r="29" spans="1:2" x14ac:dyDescent="0.25">
      <c r="A29" s="71" t="s">
        <v>254</v>
      </c>
      <c r="B29" s="70">
        <v>4</v>
      </c>
    </row>
    <row r="30" spans="1:2" x14ac:dyDescent="0.25">
      <c r="A30" s="71" t="s">
        <v>283</v>
      </c>
      <c r="B30" s="70">
        <v>1</v>
      </c>
    </row>
    <row r="31" spans="1:2" x14ac:dyDescent="0.25">
      <c r="A31" s="71" t="s">
        <v>253</v>
      </c>
      <c r="B31" s="70">
        <v>1</v>
      </c>
    </row>
    <row r="32" spans="1:2" x14ac:dyDescent="0.25">
      <c r="A32" s="71" t="s">
        <v>252</v>
      </c>
      <c r="B32" s="70">
        <v>1</v>
      </c>
    </row>
    <row r="33" spans="1:2" x14ac:dyDescent="0.25">
      <c r="A33" s="71" t="s">
        <v>251</v>
      </c>
      <c r="B33" s="70">
        <v>1</v>
      </c>
    </row>
    <row r="34" spans="1:2" x14ac:dyDescent="0.25">
      <c r="A34" s="71" t="s">
        <v>250</v>
      </c>
      <c r="B34" s="70">
        <v>11</v>
      </c>
    </row>
    <row r="35" spans="1:2" x14ac:dyDescent="0.25">
      <c r="A35" s="71" t="s">
        <v>249</v>
      </c>
      <c r="B35" s="70">
        <v>7</v>
      </c>
    </row>
    <row r="36" spans="1:2" x14ac:dyDescent="0.25">
      <c r="A36" s="71" t="s">
        <v>248</v>
      </c>
      <c r="B36" s="70">
        <v>6</v>
      </c>
    </row>
    <row r="37" spans="1:2" x14ac:dyDescent="0.25">
      <c r="A37" s="71" t="s">
        <v>247</v>
      </c>
      <c r="B37" s="70">
        <v>4</v>
      </c>
    </row>
    <row r="38" spans="1:2" x14ac:dyDescent="0.25">
      <c r="A38" s="71" t="s">
        <v>246</v>
      </c>
      <c r="B38" s="70">
        <v>1</v>
      </c>
    </row>
    <row r="39" spans="1:2" x14ac:dyDescent="0.25">
      <c r="A39" s="71" t="s">
        <v>245</v>
      </c>
      <c r="B39" s="70">
        <v>1</v>
      </c>
    </row>
    <row r="40" spans="1:2" x14ac:dyDescent="0.25">
      <c r="A40" s="71" t="s">
        <v>244</v>
      </c>
      <c r="B40" s="70">
        <v>1</v>
      </c>
    </row>
    <row r="41" spans="1:2" x14ac:dyDescent="0.25">
      <c r="A41" s="71" t="s">
        <v>243</v>
      </c>
      <c r="B41" s="70">
        <v>1</v>
      </c>
    </row>
    <row r="42" spans="1:2" x14ac:dyDescent="0.25">
      <c r="A42" s="71" t="s">
        <v>242</v>
      </c>
      <c r="B42" s="70">
        <v>1</v>
      </c>
    </row>
    <row r="43" spans="1:2" x14ac:dyDescent="0.25">
      <c r="A43" s="71" t="s">
        <v>241</v>
      </c>
      <c r="B43" s="70">
        <v>2</v>
      </c>
    </row>
    <row r="44" spans="1:2" x14ac:dyDescent="0.25">
      <c r="A44" s="71" t="s">
        <v>240</v>
      </c>
      <c r="B44" s="70">
        <v>1</v>
      </c>
    </row>
    <row r="45" spans="1:2" x14ac:dyDescent="0.25">
      <c r="A45" s="71" t="s">
        <v>239</v>
      </c>
      <c r="B45" s="70">
        <v>2</v>
      </c>
    </row>
    <row r="46" spans="1:2" x14ac:dyDescent="0.25">
      <c r="A46" s="71" t="s">
        <v>238</v>
      </c>
      <c r="B46" s="70">
        <v>77</v>
      </c>
    </row>
    <row r="47" spans="1:2" x14ac:dyDescent="0.25">
      <c r="A47" s="71" t="s">
        <v>237</v>
      </c>
      <c r="B47" s="70">
        <v>11</v>
      </c>
    </row>
    <row r="48" spans="1:2" x14ac:dyDescent="0.25">
      <c r="A48" s="71" t="s">
        <v>236</v>
      </c>
      <c r="B48" s="70">
        <v>1</v>
      </c>
    </row>
    <row r="49" spans="1:2" x14ac:dyDescent="0.25">
      <c r="A49" s="71" t="s">
        <v>235</v>
      </c>
      <c r="B49" s="70">
        <v>1</v>
      </c>
    </row>
    <row r="50" spans="1:2" x14ac:dyDescent="0.25">
      <c r="A50" s="71" t="s">
        <v>234</v>
      </c>
      <c r="B50" s="70">
        <v>2</v>
      </c>
    </row>
    <row r="51" spans="1:2" x14ac:dyDescent="0.25">
      <c r="A51" s="71" t="s">
        <v>233</v>
      </c>
      <c r="B51" s="70">
        <v>3</v>
      </c>
    </row>
    <row r="52" spans="1:2" x14ac:dyDescent="0.25">
      <c r="A52" s="71" t="s">
        <v>232</v>
      </c>
      <c r="B52" s="70">
        <v>9</v>
      </c>
    </row>
    <row r="53" spans="1:2" x14ac:dyDescent="0.25">
      <c r="A53" s="71" t="s">
        <v>231</v>
      </c>
      <c r="B53" s="70">
        <v>1</v>
      </c>
    </row>
    <row r="54" spans="1:2" x14ac:dyDescent="0.25">
      <c r="A54" s="71" t="s">
        <v>230</v>
      </c>
      <c r="B54" s="70">
        <v>8</v>
      </c>
    </row>
    <row r="55" spans="1:2" x14ac:dyDescent="0.25">
      <c r="A55" s="71" t="s">
        <v>229</v>
      </c>
      <c r="B55" s="70">
        <v>1</v>
      </c>
    </row>
    <row r="56" spans="1:2" x14ac:dyDescent="0.25">
      <c r="A56" s="71" t="s">
        <v>228</v>
      </c>
      <c r="B56" s="70">
        <v>1</v>
      </c>
    </row>
    <row r="57" spans="1:2" x14ac:dyDescent="0.25">
      <c r="A57" s="71" t="s">
        <v>227</v>
      </c>
      <c r="B57" s="70">
        <v>1</v>
      </c>
    </row>
    <row r="58" spans="1:2" x14ac:dyDescent="0.25">
      <c r="A58" s="71" t="s">
        <v>226</v>
      </c>
      <c r="B58" s="70">
        <v>1</v>
      </c>
    </row>
    <row r="59" spans="1:2" x14ac:dyDescent="0.25">
      <c r="A59" s="71" t="s">
        <v>225</v>
      </c>
      <c r="B59" s="70">
        <v>1</v>
      </c>
    </row>
    <row r="60" spans="1:2" x14ac:dyDescent="0.25">
      <c r="A60" s="71" t="s">
        <v>224</v>
      </c>
      <c r="B60" s="70">
        <v>1</v>
      </c>
    </row>
    <row r="61" spans="1:2" x14ac:dyDescent="0.25">
      <c r="A61" s="71" t="s">
        <v>223</v>
      </c>
      <c r="B61" s="70">
        <v>1</v>
      </c>
    </row>
    <row r="62" spans="1:2" x14ac:dyDescent="0.25">
      <c r="A62" s="71" t="s">
        <v>222</v>
      </c>
      <c r="B62" s="70">
        <v>1</v>
      </c>
    </row>
    <row r="63" spans="1:2" x14ac:dyDescent="0.25">
      <c r="A63" s="71" t="s">
        <v>221</v>
      </c>
      <c r="B63" s="70">
        <v>13</v>
      </c>
    </row>
    <row r="64" spans="1:2" x14ac:dyDescent="0.25">
      <c r="A64" s="71" t="s">
        <v>220</v>
      </c>
      <c r="B64" s="70">
        <v>6</v>
      </c>
    </row>
    <row r="65" spans="1:2" ht="26.4" x14ac:dyDescent="0.25">
      <c r="A65" s="71" t="s">
        <v>219</v>
      </c>
      <c r="B65" s="70">
        <v>1</v>
      </c>
    </row>
    <row r="66" spans="1:2" x14ac:dyDescent="0.25">
      <c r="A66" s="71" t="s">
        <v>218</v>
      </c>
      <c r="B66" s="70">
        <v>1</v>
      </c>
    </row>
    <row r="67" spans="1:2" x14ac:dyDescent="0.25">
      <c r="A67" s="71" t="s">
        <v>284</v>
      </c>
      <c r="B67" s="70">
        <v>1</v>
      </c>
    </row>
    <row r="68" spans="1:2" x14ac:dyDescent="0.25">
      <c r="A68" s="71" t="s">
        <v>285</v>
      </c>
      <c r="B68" s="70">
        <v>1</v>
      </c>
    </row>
    <row r="69" spans="1:2" x14ac:dyDescent="0.25">
      <c r="A69" s="71" t="s">
        <v>217</v>
      </c>
      <c r="B69" s="70">
        <v>4</v>
      </c>
    </row>
    <row r="70" spans="1:2" ht="26.4" x14ac:dyDescent="0.25">
      <c r="A70" s="71" t="s">
        <v>216</v>
      </c>
      <c r="B70" s="70">
        <v>1</v>
      </c>
    </row>
    <row r="71" spans="1:2" x14ac:dyDescent="0.25">
      <c r="A71" s="71" t="s">
        <v>215</v>
      </c>
      <c r="B71" s="70">
        <v>40</v>
      </c>
    </row>
    <row r="72" spans="1:2" x14ac:dyDescent="0.25">
      <c r="A72" s="71" t="s">
        <v>214</v>
      </c>
      <c r="B72" s="70">
        <v>1</v>
      </c>
    </row>
    <row r="73" spans="1:2" x14ac:dyDescent="0.25">
      <c r="A73" s="71" t="s">
        <v>213</v>
      </c>
      <c r="B73" s="70">
        <v>5</v>
      </c>
    </row>
    <row r="74" spans="1:2" x14ac:dyDescent="0.25">
      <c r="A74" s="71" t="s">
        <v>212</v>
      </c>
      <c r="B74" s="70">
        <v>2</v>
      </c>
    </row>
    <row r="75" spans="1:2" x14ac:dyDescent="0.25">
      <c r="A75" s="71" t="s">
        <v>211</v>
      </c>
      <c r="B75" s="70">
        <v>1</v>
      </c>
    </row>
    <row r="76" spans="1:2" x14ac:dyDescent="0.25">
      <c r="A76" s="71" t="s">
        <v>210</v>
      </c>
      <c r="B76" s="70">
        <v>1</v>
      </c>
    </row>
    <row r="77" spans="1:2" x14ac:dyDescent="0.25">
      <c r="A77" s="71" t="s">
        <v>209</v>
      </c>
      <c r="B77" s="70">
        <v>1</v>
      </c>
    </row>
    <row r="78" spans="1:2" x14ac:dyDescent="0.25">
      <c r="A78" s="71" t="s">
        <v>208</v>
      </c>
      <c r="B78" s="70">
        <v>5</v>
      </c>
    </row>
    <row r="79" spans="1:2" x14ac:dyDescent="0.25">
      <c r="A79" s="71" t="s">
        <v>207</v>
      </c>
      <c r="B79" s="70">
        <v>2</v>
      </c>
    </row>
    <row r="80" spans="1:2" x14ac:dyDescent="0.25">
      <c r="A80" s="71" t="s">
        <v>206</v>
      </c>
      <c r="B80" s="70">
        <v>2</v>
      </c>
    </row>
    <row r="81" spans="1:2" x14ac:dyDescent="0.25">
      <c r="A81" s="71" t="s">
        <v>205</v>
      </c>
      <c r="B81" s="70">
        <v>1</v>
      </c>
    </row>
    <row r="82" spans="1:2" x14ac:dyDescent="0.25">
      <c r="A82" s="71" t="s">
        <v>204</v>
      </c>
      <c r="B82" s="70">
        <v>1</v>
      </c>
    </row>
    <row r="83" spans="1:2" x14ac:dyDescent="0.25">
      <c r="A83" s="71" t="s">
        <v>203</v>
      </c>
      <c r="B83" s="70">
        <v>3</v>
      </c>
    </row>
    <row r="84" spans="1:2" x14ac:dyDescent="0.25">
      <c r="A84" s="71" t="s">
        <v>286</v>
      </c>
      <c r="B84" s="70">
        <v>1</v>
      </c>
    </row>
    <row r="85" spans="1:2" x14ac:dyDescent="0.25">
      <c r="A85" s="71" t="s">
        <v>202</v>
      </c>
      <c r="B85" s="70">
        <v>3</v>
      </c>
    </row>
    <row r="86" spans="1:2" x14ac:dyDescent="0.25">
      <c r="A86" s="71" t="s">
        <v>201</v>
      </c>
      <c r="B86" s="70">
        <v>1</v>
      </c>
    </row>
    <row r="87" spans="1:2" x14ac:dyDescent="0.25">
      <c r="A87" s="71" t="s">
        <v>200</v>
      </c>
      <c r="B87" s="70">
        <v>1</v>
      </c>
    </row>
    <row r="88" spans="1:2" x14ac:dyDescent="0.25">
      <c r="A88" s="71" t="s">
        <v>199</v>
      </c>
      <c r="B88" s="70">
        <v>1</v>
      </c>
    </row>
    <row r="89" spans="1:2" x14ac:dyDescent="0.25">
      <c r="A89" s="71" t="s">
        <v>198</v>
      </c>
      <c r="B89" s="70">
        <v>5</v>
      </c>
    </row>
    <row r="90" spans="1:2" x14ac:dyDescent="0.25">
      <c r="A90" s="71" t="s">
        <v>197</v>
      </c>
      <c r="B90" s="70">
        <v>1</v>
      </c>
    </row>
    <row r="91" spans="1:2" x14ac:dyDescent="0.25">
      <c r="A91" s="71" t="s">
        <v>196</v>
      </c>
      <c r="B91" s="70">
        <v>3</v>
      </c>
    </row>
    <row r="92" spans="1:2" x14ac:dyDescent="0.25">
      <c r="A92" s="71" t="s">
        <v>195</v>
      </c>
      <c r="B92" s="70">
        <v>3</v>
      </c>
    </row>
    <row r="93" spans="1:2" x14ac:dyDescent="0.25">
      <c r="A93" s="71" t="s">
        <v>194</v>
      </c>
      <c r="B93" s="70">
        <v>1</v>
      </c>
    </row>
    <row r="94" spans="1:2" x14ac:dyDescent="0.25">
      <c r="A94" s="71" t="s">
        <v>193</v>
      </c>
      <c r="B94" s="70">
        <v>1</v>
      </c>
    </row>
    <row r="95" spans="1:2" x14ac:dyDescent="0.25">
      <c r="A95" s="71" t="s">
        <v>192</v>
      </c>
      <c r="B95" s="70">
        <v>1</v>
      </c>
    </row>
    <row r="96" spans="1:2" x14ac:dyDescent="0.25">
      <c r="A96" s="71" t="s">
        <v>191</v>
      </c>
      <c r="B96" s="70">
        <v>1</v>
      </c>
    </row>
    <row r="97" spans="1:2" x14ac:dyDescent="0.25">
      <c r="A97" s="71" t="s">
        <v>190</v>
      </c>
      <c r="B97" s="70">
        <v>11</v>
      </c>
    </row>
    <row r="98" spans="1:2" x14ac:dyDescent="0.25">
      <c r="A98" s="71" t="s">
        <v>189</v>
      </c>
      <c r="B98" s="70">
        <v>1</v>
      </c>
    </row>
    <row r="99" spans="1:2" x14ac:dyDescent="0.25">
      <c r="A99" s="71" t="s">
        <v>188</v>
      </c>
      <c r="B99" s="70">
        <v>2</v>
      </c>
    </row>
    <row r="100" spans="1:2" x14ac:dyDescent="0.25">
      <c r="A100" s="71" t="s">
        <v>187</v>
      </c>
      <c r="B100" s="70">
        <v>1</v>
      </c>
    </row>
    <row r="101" spans="1:2" x14ac:dyDescent="0.25">
      <c r="A101" s="71" t="s">
        <v>186</v>
      </c>
      <c r="B101" s="70">
        <v>2</v>
      </c>
    </row>
    <row r="102" spans="1:2" x14ac:dyDescent="0.25">
      <c r="A102" s="71" t="s">
        <v>185</v>
      </c>
      <c r="B102" s="70">
        <v>1</v>
      </c>
    </row>
    <row r="103" spans="1:2" x14ac:dyDescent="0.25">
      <c r="A103" s="71" t="s">
        <v>184</v>
      </c>
      <c r="B103" s="70">
        <v>3</v>
      </c>
    </row>
    <row r="104" spans="1:2" x14ac:dyDescent="0.25">
      <c r="A104" s="71" t="s">
        <v>183</v>
      </c>
      <c r="B104" s="70">
        <v>1</v>
      </c>
    </row>
    <row r="105" spans="1:2" x14ac:dyDescent="0.25">
      <c r="A105" s="71" t="s">
        <v>182</v>
      </c>
      <c r="B105" s="70">
        <v>13</v>
      </c>
    </row>
    <row r="106" spans="1:2" x14ac:dyDescent="0.25">
      <c r="A106" s="71" t="s">
        <v>181</v>
      </c>
      <c r="B106" s="70">
        <v>4</v>
      </c>
    </row>
    <row r="107" spans="1:2" x14ac:dyDescent="0.25">
      <c r="A107" s="71" t="s">
        <v>180</v>
      </c>
      <c r="B107" s="70">
        <v>1</v>
      </c>
    </row>
  </sheetData>
  <phoneticPr fontId="6" type="noConversion"/>
  <conditionalFormatting sqref="A1:A1048576">
    <cfRule type="duplicateValues" dxfId="0" priority="1"/>
  </conditionalFormatting>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E14"/>
  <sheetViews>
    <sheetView workbookViewId="0">
      <selection activeCell="F4" sqref="F4"/>
    </sheetView>
  </sheetViews>
  <sheetFormatPr defaultRowHeight="13.8" x14ac:dyDescent="0.25"/>
  <cols>
    <col min="1" max="1" width="17.44140625" customWidth="1"/>
    <col min="4" max="4" width="11" bestFit="1" customWidth="1"/>
  </cols>
  <sheetData>
    <row r="1" spans="1:5" x14ac:dyDescent="0.25">
      <c r="A1" t="s">
        <v>287</v>
      </c>
      <c r="B1">
        <v>1</v>
      </c>
      <c r="D1" t="s">
        <v>303</v>
      </c>
      <c r="E1">
        <f>COUNT(B:B)</f>
        <v>14</v>
      </c>
    </row>
    <row r="2" spans="1:5" x14ac:dyDescent="0.25">
      <c r="A2" t="s">
        <v>288</v>
      </c>
      <c r="B2">
        <v>2</v>
      </c>
    </row>
    <row r="3" spans="1:5" x14ac:dyDescent="0.25">
      <c r="A3" t="s">
        <v>289</v>
      </c>
      <c r="B3">
        <v>3</v>
      </c>
    </row>
    <row r="4" spans="1:5" x14ac:dyDescent="0.25">
      <c r="A4" t="s">
        <v>290</v>
      </c>
      <c r="B4">
        <v>4</v>
      </c>
    </row>
    <row r="5" spans="1:5" x14ac:dyDescent="0.25">
      <c r="A5" t="s">
        <v>291</v>
      </c>
      <c r="B5">
        <v>5</v>
      </c>
    </row>
    <row r="6" spans="1:5" x14ac:dyDescent="0.25">
      <c r="A6" t="s">
        <v>297</v>
      </c>
      <c r="B6">
        <v>6</v>
      </c>
    </row>
    <row r="7" spans="1:5" x14ac:dyDescent="0.25">
      <c r="A7" t="s">
        <v>292</v>
      </c>
      <c r="B7">
        <v>7</v>
      </c>
    </row>
    <row r="8" spans="1:5" x14ac:dyDescent="0.25">
      <c r="A8" t="s">
        <v>298</v>
      </c>
      <c r="B8">
        <v>8</v>
      </c>
    </row>
    <row r="9" spans="1:5" x14ac:dyDescent="0.25">
      <c r="A9" t="s">
        <v>293</v>
      </c>
      <c r="B9">
        <v>9</v>
      </c>
    </row>
    <row r="10" spans="1:5" x14ac:dyDescent="0.25">
      <c r="A10" t="s">
        <v>294</v>
      </c>
      <c r="B10">
        <v>10</v>
      </c>
    </row>
    <row r="11" spans="1:5" x14ac:dyDescent="0.25">
      <c r="A11" t="s">
        <v>299</v>
      </c>
      <c r="B11">
        <v>11</v>
      </c>
    </row>
    <row r="12" spans="1:5" x14ac:dyDescent="0.25">
      <c r="A12" t="s">
        <v>300</v>
      </c>
      <c r="B12">
        <v>12</v>
      </c>
    </row>
    <row r="13" spans="1:5" x14ac:dyDescent="0.25">
      <c r="A13" t="s">
        <v>301</v>
      </c>
      <c r="B13">
        <v>13</v>
      </c>
    </row>
    <row r="14" spans="1:5" x14ac:dyDescent="0.25">
      <c r="A14" s="72" t="s">
        <v>302</v>
      </c>
      <c r="B14">
        <v>14</v>
      </c>
    </row>
  </sheetData>
  <phoneticPr fontId="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20</vt:i4>
      </vt:variant>
    </vt:vector>
  </HeadingPairs>
  <TitlesOfParts>
    <vt:vector size="20" baseType="lpstr">
      <vt:lpstr>信息</vt:lpstr>
      <vt:lpstr>敏感点信息</vt:lpstr>
      <vt:lpstr>产品</vt:lpstr>
      <vt:lpstr>材料</vt:lpstr>
      <vt:lpstr>设备</vt:lpstr>
      <vt:lpstr>附件</vt:lpstr>
      <vt:lpstr>废气信息</vt:lpstr>
      <vt:lpstr>废固信息</vt:lpstr>
      <vt:lpstr>废气信息库</vt:lpstr>
      <vt:lpstr>废固信息库</vt:lpstr>
      <vt:lpstr>污水排放</vt:lpstr>
      <vt:lpstr>地表水环境</vt:lpstr>
      <vt:lpstr>地表水区域</vt:lpstr>
      <vt:lpstr>地下水环境</vt:lpstr>
      <vt:lpstr>地下水区域</vt:lpstr>
      <vt:lpstr>声环境</vt:lpstr>
      <vt:lpstr>社会情况</vt:lpstr>
      <vt:lpstr>现状数据</vt:lpstr>
      <vt:lpstr>行业类别及代码</vt:lpstr>
      <vt:lpstr>工艺流程表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2017-12-05T05:45:33Z</dcterms:modified>
</cp:coreProperties>
</file>